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ueller/data/bau/doc/"/>
    </mc:Choice>
  </mc:AlternateContent>
  <xr:revisionPtr revIDLastSave="0" documentId="13_ncr:1_{002423A5-19F2-E84A-BACD-D95A574B49B0}" xr6:coauthVersionLast="47" xr6:coauthVersionMax="47" xr10:uidLastSave="{00000000-0000-0000-0000-000000000000}"/>
  <bookViews>
    <workbookView xWindow="0" yWindow="500" windowWidth="34040" windowHeight="17500" xr2:uid="{8BA8907E-A4D7-9D46-8614-8210467CB087}"/>
  </bookViews>
  <sheets>
    <sheet name="Performance" sheetId="1" r:id="rId1"/>
    <sheet name="Concise" sheetId="2" r:id="rId2"/>
    <sheet name="sign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9" i="1"/>
  <c r="O8" i="1"/>
  <c r="O7" i="1"/>
  <c r="O6" i="1"/>
  <c r="O5" i="1"/>
  <c r="N10" i="1"/>
  <c r="L10" i="1"/>
  <c r="K10" i="1"/>
  <c r="J10" i="1"/>
  <c r="N13" i="2"/>
  <c r="M13" i="2"/>
  <c r="L13" i="2"/>
  <c r="K13" i="2"/>
  <c r="J13" i="2"/>
  <c r="I13" i="2"/>
  <c r="I10" i="1"/>
  <c r="H10" i="1"/>
  <c r="G10" i="1"/>
  <c r="F10" i="1"/>
  <c r="E10" i="1"/>
  <c r="D10" i="1"/>
  <c r="C10" i="1"/>
  <c r="N12" i="2"/>
  <c r="T12" i="2" s="1"/>
  <c r="M12" i="2"/>
  <c r="L12" i="2"/>
  <c r="K12" i="2"/>
  <c r="J12" i="2"/>
  <c r="I12" i="2"/>
  <c r="N11" i="2"/>
  <c r="T11" i="2" s="1"/>
  <c r="M11" i="2"/>
  <c r="S11" i="2" s="1"/>
  <c r="L11" i="2"/>
  <c r="R11" i="2" s="1"/>
  <c r="K11" i="2"/>
  <c r="J11" i="2"/>
  <c r="I11" i="2"/>
  <c r="N10" i="2"/>
  <c r="M10" i="2"/>
  <c r="L10" i="2"/>
  <c r="K10" i="2"/>
  <c r="J10" i="2"/>
  <c r="P10" i="2" s="1"/>
  <c r="I10" i="2"/>
  <c r="N9" i="2"/>
  <c r="T9" i="2" s="1"/>
  <c r="M9" i="2"/>
  <c r="L9" i="2"/>
  <c r="K9" i="2"/>
  <c r="J9" i="2"/>
  <c r="I9" i="2"/>
  <c r="N8" i="2"/>
  <c r="M8" i="2"/>
  <c r="L8" i="2"/>
  <c r="K8" i="2"/>
  <c r="J8" i="2"/>
  <c r="I8" i="2"/>
  <c r="N7" i="2"/>
  <c r="T7" i="2" s="1"/>
  <c r="M7" i="2"/>
  <c r="S7" i="2" s="1"/>
  <c r="L7" i="2"/>
  <c r="K7" i="2"/>
  <c r="J7" i="2"/>
  <c r="I7" i="2"/>
  <c r="N6" i="2"/>
  <c r="T6" i="2" s="1"/>
  <c r="M6" i="2"/>
  <c r="S6" i="2" s="1"/>
  <c r="L6" i="2"/>
  <c r="K6" i="2"/>
  <c r="J6" i="2"/>
  <c r="P6" i="2" s="1"/>
  <c r="I6" i="2"/>
  <c r="N5" i="2"/>
  <c r="M5" i="2"/>
  <c r="L5" i="2"/>
  <c r="K5" i="2"/>
  <c r="J5" i="2"/>
  <c r="I5" i="2"/>
  <c r="N4" i="2"/>
  <c r="T4" i="2" s="1"/>
  <c r="M4" i="2"/>
  <c r="L4" i="2"/>
  <c r="K4" i="2"/>
  <c r="J4" i="2"/>
  <c r="I4" i="2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N23" i="1"/>
  <c r="N22" i="1"/>
  <c r="N21" i="1"/>
  <c r="N19" i="1"/>
  <c r="M19" i="1"/>
  <c r="L18" i="1"/>
  <c r="I3" i="2"/>
  <c r="N3" i="2"/>
  <c r="T5" i="2" s="1"/>
  <c r="M3" i="2"/>
  <c r="S5" i="2" s="1"/>
  <c r="L3" i="2"/>
  <c r="K3" i="2"/>
  <c r="Q7" i="2" s="1"/>
  <c r="J3" i="2"/>
  <c r="P7" i="2" s="1"/>
  <c r="Q6" i="2" l="1"/>
  <c r="Q10" i="2"/>
  <c r="U10" i="2" s="1"/>
  <c r="P5" i="2"/>
  <c r="R6" i="2"/>
  <c r="R10" i="2"/>
  <c r="P8" i="2"/>
  <c r="P9" i="2"/>
  <c r="U9" i="2" s="1"/>
  <c r="Q9" i="2"/>
  <c r="R9" i="2"/>
  <c r="P12" i="2"/>
  <c r="U12" i="2" s="1"/>
  <c r="S9" i="2"/>
  <c r="Q12" i="2"/>
  <c r="R4" i="2"/>
  <c r="P11" i="2"/>
  <c r="R12" i="2"/>
  <c r="R7" i="2"/>
  <c r="S10" i="2"/>
  <c r="P4" i="2"/>
  <c r="U4" i="2" s="1"/>
  <c r="T10" i="2"/>
  <c r="Q4" i="2"/>
  <c r="S4" i="2"/>
  <c r="Q11" i="2"/>
  <c r="S12" i="2"/>
  <c r="U5" i="2"/>
  <c r="Q8" i="2"/>
  <c r="U7" i="2"/>
  <c r="U6" i="2"/>
  <c r="U11" i="2"/>
  <c r="Q5" i="2"/>
  <c r="R8" i="2"/>
  <c r="R5" i="2"/>
  <c r="S8" i="2"/>
  <c r="T8" i="2"/>
  <c r="U8" i="2" l="1"/>
</calcChain>
</file>

<file path=xl/sharedStrings.xml><?xml version="1.0" encoding="utf-8"?>
<sst xmlns="http://schemas.openxmlformats.org/spreadsheetml/2006/main" count="252" uniqueCount="147">
  <si>
    <t>Benchmark</t>
  </si>
  <si>
    <t>Bau</t>
  </si>
  <si>
    <t>C</t>
  </si>
  <si>
    <t>Go</t>
  </si>
  <si>
    <t>Java</t>
  </si>
  <si>
    <t>Rust</t>
  </si>
  <si>
    <t>Binary Trees</t>
  </si>
  <si>
    <t>SpeedTest</t>
  </si>
  <si>
    <t>Pi Digits</t>
  </si>
  <si>
    <t>Mandelbrot</t>
  </si>
  <si>
    <t>PyPy</t>
  </si>
  <si>
    <t>Python</t>
  </si>
  <si>
    <t>Language</t>
  </si>
  <si>
    <t>Lines</t>
  </si>
  <si>
    <t>Bytes</t>
  </si>
  <si>
    <t>Whitespace</t>
  </si>
  <si>
    <t>Alphanumeric</t>
  </si>
  <si>
    <t>Special</t>
  </si>
  <si>
    <t>Fannkuch</t>
  </si>
  <si>
    <t>Kotlin</t>
  </si>
  <si>
    <t>Swift</t>
  </si>
  <si>
    <t>8.25 seconds per million nodes</t>
  </si>
  <si>
    <t>  </t>
  </si>
  <si>
    <t> </t>
  </si>
  <si>
    <t>1  </t>
  </si>
  <si>
    <t>SIGHUP  </t>
  </si>
  <si>
    <t>terminate process </t>
  </si>
  <si>
    <t>terminal line hangup</t>
  </si>
  <si>
    <t>2  </t>
  </si>
  <si>
    <t>SIGINT  </t>
  </si>
  <si>
    <t>interrupt program</t>
  </si>
  <si>
    <t>3  </t>
  </si>
  <si>
    <t>SIGQUIT </t>
  </si>
  <si>
    <t>create core image </t>
  </si>
  <si>
    <t>quit program</t>
  </si>
  <si>
    <t>4  </t>
  </si>
  <si>
    <t>SIGILL  </t>
  </si>
  <si>
    <t>illegal instruction</t>
  </si>
  <si>
    <t>5  </t>
  </si>
  <si>
    <t>SIGTRAP </t>
  </si>
  <si>
    <t>trace trap</t>
  </si>
  <si>
    <t>6  </t>
  </si>
  <si>
    <t>SIGABRT </t>
  </si>
  <si>
    <t>abort program (formerly SIGIOT)</t>
  </si>
  <si>
    <t>7  </t>
  </si>
  <si>
    <t>SIGEMT  </t>
  </si>
  <si>
    <t>emulate instruction executed</t>
  </si>
  <si>
    <t>8  </t>
  </si>
  <si>
    <t>SIGFPE  </t>
  </si>
  <si>
    <t>floating-point exception</t>
  </si>
  <si>
    <t>9  </t>
  </si>
  <si>
    <t>SIGKILL </t>
  </si>
  <si>
    <t>kill program</t>
  </si>
  <si>
    <t>10 </t>
  </si>
  <si>
    <t>SIGBUS  </t>
  </si>
  <si>
    <t>bus error</t>
  </si>
  <si>
    <t>11 </t>
  </si>
  <si>
    <t>SIGSEGV </t>
  </si>
  <si>
    <t>segmentation violation</t>
  </si>
  <si>
    <t>12 </t>
  </si>
  <si>
    <t>SIGSYS  </t>
  </si>
  <si>
    <t>non-existent system call invoked</t>
  </si>
  <si>
    <t>13 </t>
  </si>
  <si>
    <t>SIGPIPE </t>
  </si>
  <si>
    <t>write on a pipe with no reader</t>
  </si>
  <si>
    <t>14 </t>
  </si>
  <si>
    <t>SIGALRM </t>
  </si>
  <si>
    <t>real-time timer expired</t>
  </si>
  <si>
    <t>15 </t>
  </si>
  <si>
    <t>SIGTERM </t>
  </si>
  <si>
    <t>software termination signal</t>
  </si>
  <si>
    <t>16 </t>
  </si>
  <si>
    <t>SIGURG  </t>
  </si>
  <si>
    <t>discard signal    </t>
  </si>
  <si>
    <t>urgent condition present on socket</t>
  </si>
  <si>
    <t>17 </t>
  </si>
  <si>
    <t>SIGSTOP </t>
  </si>
  <si>
    <t>stop process      </t>
  </si>
  <si>
    <t>stop (cannot be caught or ignored)</t>
  </si>
  <si>
    <t>18 </t>
  </si>
  <si>
    <t>SIGTSTP </t>
  </si>
  <si>
    <t>stop signal generated from keyboard</t>
  </si>
  <si>
    <t>19 </t>
  </si>
  <si>
    <t>SIGCONT </t>
  </si>
  <si>
    <t>continue after stop</t>
  </si>
  <si>
    <t>20 </t>
  </si>
  <si>
    <t>SIGCHLD </t>
  </si>
  <si>
    <t>child status has changed</t>
  </si>
  <si>
    <t>21 </t>
  </si>
  <si>
    <t>SIGTTIN </t>
  </si>
  <si>
    <t>background read attempted from control terminal</t>
  </si>
  <si>
    <t>22 </t>
  </si>
  <si>
    <t>SIGTTOU </t>
  </si>
  <si>
    <t>background write attempted to control terminal</t>
  </si>
  <si>
    <t>23 </t>
  </si>
  <si>
    <t>SIGIO   </t>
  </si>
  <si>
    <t>I/O is possible on a descriptor (see fcntl(2))</t>
  </si>
  <si>
    <t>24 </t>
  </si>
  <si>
    <t>SIGXCPU </t>
  </si>
  <si>
    <t>cpu time limit exceeded (see setrlimit(2))</t>
  </si>
  <si>
    <t>25 </t>
  </si>
  <si>
    <t>SIGXFSZ </t>
  </si>
  <si>
    <t>file size limit exceeded (see setrlimit(2))</t>
  </si>
  <si>
    <t>26 </t>
  </si>
  <si>
    <t>virtual time alarm (see setitimer(2))</t>
  </si>
  <si>
    <t>27 </t>
  </si>
  <si>
    <t>SIGPROF </t>
  </si>
  <si>
    <t>profiling timer alarm (see setitimer(2))</t>
  </si>
  <si>
    <t>28 </t>
  </si>
  <si>
    <t>SIGWINCH</t>
  </si>
  <si>
    <t>Window size change</t>
  </si>
  <si>
    <t>29 </t>
  </si>
  <si>
    <t>SIGINFO </t>
  </si>
  <si>
    <t>status request from keyboard</t>
  </si>
  <si>
    <t>30 </t>
  </si>
  <si>
    <t>SIGUSR1 </t>
  </si>
  <si>
    <t>User defined signal 1</t>
  </si>
  <si>
    <t>31 </t>
  </si>
  <si>
    <t>SIGUSR2 </t>
  </si>
  <si>
    <t>User defined signal 2</t>
  </si>
  <si>
    <t>SIGVTALRM</t>
  </si>
  <si>
    <t>default action</t>
  </si>
  <si>
    <t>description</t>
  </si>
  <si>
    <t>name</t>
  </si>
  <si>
    <t>signal</t>
  </si>
  <si>
    <t>hang up</t>
  </si>
  <si>
    <t>interrupt</t>
  </si>
  <si>
    <t>quit</t>
  </si>
  <si>
    <t>illegal</t>
  </si>
  <si>
    <t>trap</t>
  </si>
  <si>
    <t>abort</t>
  </si>
  <si>
    <t>emulate</t>
  </si>
  <si>
    <t>kill</t>
  </si>
  <si>
    <t>floating point exception</t>
  </si>
  <si>
    <t>non-existent syscall</t>
  </si>
  <si>
    <t>pipe without reader</t>
  </si>
  <si>
    <t>timer</t>
  </si>
  <si>
    <t>terminate</t>
  </si>
  <si>
    <t>urgent</t>
  </si>
  <si>
    <t>stop</t>
  </si>
  <si>
    <t>continue</t>
  </si>
  <si>
    <t>child</t>
  </si>
  <si>
    <t>window size changed</t>
  </si>
  <si>
    <t>Underscore</t>
  </si>
  <si>
    <t>Nim</t>
  </si>
  <si>
    <t>Vlang</t>
  </si>
  <si>
    <t>Zig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</si>
</sst>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6"/>
      <color rgb="FF1F2328"/>
      <name val="Helvetica"/>
      <family val="2"/>
    </font>
    <font>
      <sz val="16"/>
      <color rgb="FF1F2328"/>
      <name val="Helvetica"/>
      <family val="2"/>
    </font>
    <font>
      <sz val="11"/>
      <color rgb="FF000000"/>
      <name val="Menlo"/>
      <family val="2"/>
    </font>
    <font>
      <sz val="12"/>
      <color rgb="FF000000"/>
      <name val="Menlo"/>
      <family val="2"/>
    </font>
    <font>
      <sz val="16"/>
      <color rgb="FF1F2328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1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Performance!$B$5</c:f>
              <c:strCache>
                <c:ptCount val="1"/>
                <c:pt idx="0">
                  <c:v>Binary Trees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Performance!$C$5:$L$5</c:f>
              <c:numCache>
                <c:formatCode>General</c:formatCode>
                <c:ptCount val="10"/>
                <c:pt idx="0">
                  <c:v>3.4</c:v>
                </c:pt>
                <c:pt idx="1">
                  <c:v>3.3</c:v>
                </c:pt>
                <c:pt idx="2">
                  <c:v>6.7</c:v>
                </c:pt>
                <c:pt idx="3">
                  <c:v>2</c:v>
                </c:pt>
                <c:pt idx="4">
                  <c:v>4</c:v>
                </c:pt>
                <c:pt idx="5">
                  <c:v>5.5</c:v>
                </c:pt>
                <c:pt idx="6">
                  <c:v>4.0999999999999996</c:v>
                </c:pt>
                <c:pt idx="7">
                  <c:v>10.8</c:v>
                </c:pt>
                <c:pt idx="8">
                  <c:v>4.5</c:v>
                </c:pt>
                <c:pt idx="9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A-2A4F-8C3D-1F740C03D694}"/>
            </c:ext>
          </c:extLst>
        </c:ser>
        <c:ser>
          <c:idx val="1"/>
          <c:order val="1"/>
          <c:tx>
            <c:strRef>
              <c:f>Performance!$B$6</c:f>
              <c:strCache>
                <c:ptCount val="1"/>
                <c:pt idx="0">
                  <c:v>Fannkuch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Performance!$C$6:$L$6</c:f>
              <c:numCache>
                <c:formatCode>General</c:formatCode>
                <c:ptCount val="10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1.8</c:v>
                </c:pt>
                <c:pt idx="4">
                  <c:v>1.5</c:v>
                </c:pt>
                <c:pt idx="5">
                  <c:v>3.7</c:v>
                </c:pt>
                <c:pt idx="6">
                  <c:v>1.4</c:v>
                </c:pt>
                <c:pt idx="7">
                  <c:v>1.7</c:v>
                </c:pt>
                <c:pt idx="8">
                  <c:v>1.5</c:v>
                </c:pt>
                <c:pt idx="9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A-2A4F-8C3D-1F740C03D694}"/>
            </c:ext>
          </c:extLst>
        </c:ser>
        <c:ser>
          <c:idx val="2"/>
          <c:order val="2"/>
          <c:tx>
            <c:strRef>
              <c:f>Performance!$B$7</c:f>
              <c:strCache>
                <c:ptCount val="1"/>
                <c:pt idx="0">
                  <c:v>SpeedTest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Performance!$C$7:$L$7</c:f>
              <c:numCache>
                <c:formatCode>General</c:formatCode>
                <c:ptCount val="10"/>
                <c:pt idx="0">
                  <c:v>1.3</c:v>
                </c:pt>
                <c:pt idx="1">
                  <c:v>1.2</c:v>
                </c:pt>
                <c:pt idx="2">
                  <c:v>1.9</c:v>
                </c:pt>
                <c:pt idx="3">
                  <c:v>2.7</c:v>
                </c:pt>
                <c:pt idx="4">
                  <c:v>1.6</c:v>
                </c:pt>
                <c:pt idx="5">
                  <c:v>10.199999999999999</c:v>
                </c:pt>
                <c:pt idx="6">
                  <c:v>1.2</c:v>
                </c:pt>
                <c:pt idx="7">
                  <c:v>1.4</c:v>
                </c:pt>
                <c:pt idx="8">
                  <c:v>1.3</c:v>
                </c:pt>
                <c:pt idx="9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A-2A4F-8C3D-1F740C03D694}"/>
            </c:ext>
          </c:extLst>
        </c:ser>
        <c:ser>
          <c:idx val="3"/>
          <c:order val="3"/>
          <c:tx>
            <c:strRef>
              <c:f>Performance!$B$8</c:f>
              <c:strCache>
                <c:ptCount val="1"/>
                <c:pt idx="0">
                  <c:v>Pi Digits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Performance!$C$8:$L$8</c:f>
              <c:numCache>
                <c:formatCode>General</c:formatCode>
                <c:ptCount val="10"/>
                <c:pt idx="0">
                  <c:v>1.3</c:v>
                </c:pt>
                <c:pt idx="1">
                  <c:v>0.4</c:v>
                </c:pt>
                <c:pt idx="2">
                  <c:v>0.6</c:v>
                </c:pt>
                <c:pt idx="3">
                  <c:v>1.9</c:v>
                </c:pt>
                <c:pt idx="4">
                  <c:v>24</c:v>
                </c:pt>
                <c:pt idx="5">
                  <c:v>1.4</c:v>
                </c:pt>
                <c:pt idx="6">
                  <c:v>1</c:v>
                </c:pt>
                <c:pt idx="7">
                  <c:v>5</c:v>
                </c:pt>
                <c:pt idx="8">
                  <c:v>3.2</c:v>
                </c:pt>
                <c:pt idx="9">
                  <c:v>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4A-2A4F-8C3D-1F740C03D694}"/>
            </c:ext>
          </c:extLst>
        </c:ser>
        <c:ser>
          <c:idx val="4"/>
          <c:order val="4"/>
          <c:tx>
            <c:strRef>
              <c:f>Performance!$B$9</c:f>
              <c:strCache>
                <c:ptCount val="1"/>
                <c:pt idx="0">
                  <c:v>Mandelbrot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Performance!$C$9:$L$9</c:f>
              <c:numCache>
                <c:formatCode>General</c:formatCode>
                <c:ptCount val="10"/>
                <c:pt idx="0">
                  <c:v>1.8</c:v>
                </c:pt>
                <c:pt idx="1">
                  <c:v>1.8</c:v>
                </c:pt>
                <c:pt idx="2">
                  <c:v>1.8</c:v>
                </c:pt>
                <c:pt idx="3">
                  <c:v>2.1</c:v>
                </c:pt>
                <c:pt idx="4">
                  <c:v>1.9</c:v>
                </c:pt>
                <c:pt idx="5">
                  <c:v>9.8000000000000007</c:v>
                </c:pt>
                <c:pt idx="6">
                  <c:v>2</c:v>
                </c:pt>
                <c:pt idx="7">
                  <c:v>9.8000000000000007</c:v>
                </c:pt>
                <c:pt idx="8">
                  <c:v>1.8</c:v>
                </c:pt>
                <c:pt idx="9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4A-2A4F-8C3D-1F740C03D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839984"/>
        <c:axId val="15769792"/>
      </c:barChart>
      <c:catAx>
        <c:axId val="1583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5769792"/>
        <c:crosses val="autoZero"/>
        <c:auto val="1"/>
        <c:lblAlgn val="ctr"/>
        <c:lblOffset val="100"/>
        <c:noMultiLvlLbl val="0"/>
      </c:catAx>
      <c:valAx>
        <c:axId val="15769792"/>
        <c:scaling>
          <c:orientation val="minMax"/>
          <c:max val="1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\-0\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583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Syntax Statistics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Concise!$B$3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Concise!$C$3:$F$3</c:f>
              <c:numCache>
                <c:formatCode>General</c:formatCode>
                <c:ptCount val="4"/>
                <c:pt idx="0">
                  <c:v>222</c:v>
                </c:pt>
                <c:pt idx="1">
                  <c:v>5408</c:v>
                </c:pt>
                <c:pt idx="2">
                  <c:v>2086</c:v>
                </c:pt>
                <c:pt idx="3">
                  <c:v>2595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4-B54E-B7F7-3461ED87B74D}"/>
            </c:ext>
          </c:extLst>
        </c:ser>
        <c:ser>
          <c:idx val="1"/>
          <c:order val="1"/>
          <c:tx>
            <c:strRef>
              <c:f>Concise!$B$4</c:f>
              <c:strCache>
                <c:ptCount val="1"/>
                <c:pt idx="0">
                  <c:v>Bau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Concise!$C$4:$F$4</c:f>
              <c:numCache>
                <c:formatCode>General</c:formatCode>
                <c:ptCount val="4"/>
                <c:pt idx="0">
                  <c:v>227</c:v>
                </c:pt>
                <c:pt idx="1">
                  <c:v>5416</c:v>
                </c:pt>
                <c:pt idx="2">
                  <c:v>2063</c:v>
                </c:pt>
                <c:pt idx="3">
                  <c:v>2716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04-B54E-B7F7-3461ED87B74D}"/>
            </c:ext>
          </c:extLst>
        </c:ser>
        <c:ser>
          <c:idx val="2"/>
          <c:order val="2"/>
          <c:tx>
            <c:strRef>
              <c:f>Concise!$B$5</c:f>
              <c:strCache>
                <c:ptCount val="1"/>
                <c:pt idx="0">
                  <c:v>Nim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Concise!$C$5:$F$5</c:f>
              <c:numCache>
                <c:formatCode>General</c:formatCode>
                <c:ptCount val="4"/>
                <c:pt idx="0">
                  <c:v>252</c:v>
                </c:pt>
                <c:pt idx="1">
                  <c:v>6096</c:v>
                </c:pt>
                <c:pt idx="2">
                  <c:v>2351</c:v>
                </c:pt>
                <c:pt idx="3">
                  <c:v>3068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04-B54E-B7F7-3461ED87B74D}"/>
            </c:ext>
          </c:extLst>
        </c:ser>
        <c:ser>
          <c:idx val="4"/>
          <c:order val="3"/>
          <c:tx>
            <c:strRef>
              <c:f>Concise!$B$6</c:f>
              <c:strCache>
                <c:ptCount val="1"/>
                <c:pt idx="0">
                  <c:v>Swift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Concise!$C$6:$F$6</c:f>
              <c:numCache>
                <c:formatCode>General</c:formatCode>
                <c:ptCount val="4"/>
                <c:pt idx="0">
                  <c:v>283</c:v>
                </c:pt>
                <c:pt idx="1">
                  <c:v>6566</c:v>
                </c:pt>
                <c:pt idx="2">
                  <c:v>2542</c:v>
                </c:pt>
                <c:pt idx="3">
                  <c:v>3195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04-B54E-B7F7-3461ED87B74D}"/>
            </c:ext>
          </c:extLst>
        </c:ser>
        <c:ser>
          <c:idx val="5"/>
          <c:order val="4"/>
          <c:tx>
            <c:strRef>
              <c:f>Concise!$B$7</c:f>
              <c:strCache>
                <c:ptCount val="1"/>
                <c:pt idx="0">
                  <c:v>Vlang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Concise!$C$7:$F$7</c:f>
              <c:numCache>
                <c:formatCode>General</c:formatCode>
                <c:ptCount val="4"/>
                <c:pt idx="0">
                  <c:v>306</c:v>
                </c:pt>
                <c:pt idx="1">
                  <c:v>6732</c:v>
                </c:pt>
                <c:pt idx="2">
                  <c:v>2740</c:v>
                </c:pt>
                <c:pt idx="3">
                  <c:v>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04-B54E-B7F7-3461ED87B74D}"/>
            </c:ext>
          </c:extLst>
        </c:ser>
        <c:ser>
          <c:idx val="3"/>
          <c:order val="5"/>
          <c:tx>
            <c:strRef>
              <c:f>Concise!$B$8</c:f>
              <c:strCache>
                <c:ptCount val="1"/>
                <c:pt idx="0">
                  <c:v>Kotlin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Concise!$C$8:$F$8</c:f>
              <c:numCache>
                <c:formatCode>General</c:formatCode>
                <c:ptCount val="4"/>
                <c:pt idx="0">
                  <c:v>277</c:v>
                </c:pt>
                <c:pt idx="1">
                  <c:v>6953</c:v>
                </c:pt>
                <c:pt idx="2">
                  <c:v>2590</c:v>
                </c:pt>
                <c:pt idx="3">
                  <c:v>3501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D04-B54E-B7F7-3461ED87B74D}"/>
            </c:ext>
          </c:extLst>
        </c:ser>
        <c:ser>
          <c:idx val="6"/>
          <c:order val="6"/>
          <c:tx>
            <c:strRef>
              <c:f>Concise!$B$9</c:f>
              <c:strCache>
                <c:ptCount val="1"/>
                <c:pt idx="0">
                  <c:v>Go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Concise!$C$9:$F$9</c:f>
              <c:numCache>
                <c:formatCode>General</c:formatCode>
                <c:ptCount val="4"/>
                <c:pt idx="0">
                  <c:v>334</c:v>
                </c:pt>
                <c:pt idx="1">
                  <c:v>7037</c:v>
                </c:pt>
                <c:pt idx="2">
                  <c:v>2764</c:v>
                </c:pt>
                <c:pt idx="3">
                  <c:v>3217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6-E946-8D0D-119611D52763}"/>
            </c:ext>
          </c:extLst>
        </c:ser>
        <c:ser>
          <c:idx val="7"/>
          <c:order val="7"/>
          <c:tx>
            <c:strRef>
              <c:f>Concise!$B$10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Concise!$C$10:$F$10</c:f>
              <c:numCache>
                <c:formatCode>General</c:formatCode>
                <c:ptCount val="4"/>
                <c:pt idx="0">
                  <c:v>306</c:v>
                </c:pt>
                <c:pt idx="1">
                  <c:v>7268</c:v>
                </c:pt>
                <c:pt idx="2">
                  <c:v>2604</c:v>
                </c:pt>
                <c:pt idx="3">
                  <c:v>3477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6-E946-8D0D-119611D52763}"/>
            </c:ext>
          </c:extLst>
        </c:ser>
        <c:ser>
          <c:idx val="8"/>
          <c:order val="8"/>
          <c:tx>
            <c:strRef>
              <c:f>Concise!$B$11</c:f>
              <c:strCache>
                <c:ptCount val="1"/>
                <c:pt idx="0">
                  <c:v>Java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Concise!$C$11:$F$11</c:f>
              <c:numCache>
                <c:formatCode>General</c:formatCode>
                <c:ptCount val="4"/>
                <c:pt idx="0">
                  <c:v>278</c:v>
                </c:pt>
                <c:pt idx="1">
                  <c:v>7928</c:v>
                </c:pt>
                <c:pt idx="2">
                  <c:v>3322</c:v>
                </c:pt>
                <c:pt idx="3">
                  <c:v>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F6-E946-8D0D-119611D52763}"/>
            </c:ext>
          </c:extLst>
        </c:ser>
        <c:ser>
          <c:idx val="9"/>
          <c:order val="9"/>
          <c:tx>
            <c:strRef>
              <c:f>Concise!$B$12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Concise!$C$12:$F$12</c:f>
              <c:numCache>
                <c:formatCode>General</c:formatCode>
                <c:ptCount val="4"/>
                <c:pt idx="0">
                  <c:v>340</c:v>
                </c:pt>
                <c:pt idx="1">
                  <c:v>8311</c:v>
                </c:pt>
                <c:pt idx="2">
                  <c:v>3311</c:v>
                </c:pt>
                <c:pt idx="3">
                  <c:v>3693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F6-E946-8D0D-119611D52763}"/>
            </c:ext>
          </c:extLst>
        </c:ser>
        <c:ser>
          <c:idx val="10"/>
          <c:order val="10"/>
          <c:tx>
            <c:strRef>
              <c:f>Concise!$B$13</c:f>
              <c:strCache>
                <c:ptCount val="1"/>
                <c:pt idx="0">
                  <c:v>Zig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Concise!$C$13:$F$13</c:f>
              <c:numCache>
                <c:formatCode>General</c:formatCode>
                <c:ptCount val="4"/>
                <c:pt idx="0">
                  <c:v>376</c:v>
                </c:pt>
                <c:pt idx="1">
                  <c:v>10678</c:v>
                </c:pt>
                <c:pt idx="2">
                  <c:v>3529</c:v>
                </c:pt>
                <c:pt idx="3">
                  <c:v>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10-6F45-BF22-CF375864C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08731712"/>
        <c:axId val="1808772160"/>
      </c:barChart>
      <c:catAx>
        <c:axId val="180873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08772160"/>
        <c:crosses val="autoZero"/>
        <c:auto val="1"/>
        <c:lblAlgn val="ctr"/>
        <c:lblOffset val="100"/>
        <c:noMultiLvlLbl val="0"/>
      </c:catAx>
      <c:valAx>
        <c:axId val="180877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0873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>
                <a:effectLst/>
              </a:rPr>
              <a:t>Syntax</a:t>
            </a:r>
            <a:r>
              <a:rPr lang="en-GB"/>
              <a:t> Metrics:</a:t>
            </a:r>
            <a:r>
              <a:rPr lang="en-GB" baseline="0"/>
              <a:t> </a:t>
            </a:r>
            <a:r>
              <a:rPr lang="en-GB"/>
              <a:t>Comparison to Python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Concise!$J$2</c:f>
              <c:strCache>
                <c:ptCount val="1"/>
                <c:pt idx="0">
                  <c:v>Lines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Concise!$J$3:$J$13</c:f>
              <c:numCache>
                <c:formatCode>General</c:formatCode>
                <c:ptCount val="11"/>
                <c:pt idx="0">
                  <c:v>1</c:v>
                </c:pt>
                <c:pt idx="1">
                  <c:v>1.0225225225225225</c:v>
                </c:pt>
                <c:pt idx="2">
                  <c:v>1.1351351351351351</c:v>
                </c:pt>
                <c:pt idx="3">
                  <c:v>1.2747747747747749</c:v>
                </c:pt>
                <c:pt idx="4">
                  <c:v>1.3783783783783783</c:v>
                </c:pt>
                <c:pt idx="5">
                  <c:v>1.2477477477477477</c:v>
                </c:pt>
                <c:pt idx="6">
                  <c:v>1.5045045045045045</c:v>
                </c:pt>
                <c:pt idx="7">
                  <c:v>1.3783783783783783</c:v>
                </c:pt>
                <c:pt idx="8">
                  <c:v>1.2522522522522523</c:v>
                </c:pt>
                <c:pt idx="9">
                  <c:v>1.5315315315315314</c:v>
                </c:pt>
                <c:pt idx="10">
                  <c:v>1.6936936936936937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74-2C4D-A906-045B5CBCECC2}"/>
            </c:ext>
          </c:extLst>
        </c:ser>
        <c:ser>
          <c:idx val="1"/>
          <c:order val="1"/>
          <c:tx>
            <c:strRef>
              <c:f>Concise!$K$2</c:f>
              <c:strCache>
                <c:ptCount val="1"/>
                <c:pt idx="0">
                  <c:v>Bytes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Concise!$K$3:$K$13</c:f>
              <c:numCache>
                <c:formatCode>General</c:formatCode>
                <c:ptCount val="11"/>
                <c:pt idx="0">
                  <c:v>1</c:v>
                </c:pt>
                <c:pt idx="1">
                  <c:v>1.0014792899408285</c:v>
                </c:pt>
                <c:pt idx="2">
                  <c:v>1.1272189349112425</c:v>
                </c:pt>
                <c:pt idx="3">
                  <c:v>1.2141272189349113</c:v>
                </c:pt>
                <c:pt idx="4">
                  <c:v>1.2448224852071006</c:v>
                </c:pt>
                <c:pt idx="5">
                  <c:v>1.2856878698224852</c:v>
                </c:pt>
                <c:pt idx="6">
                  <c:v>1.3012204142011834</c:v>
                </c:pt>
                <c:pt idx="7">
                  <c:v>1.3439349112426036</c:v>
                </c:pt>
                <c:pt idx="8">
                  <c:v>1.4659763313609466</c:v>
                </c:pt>
                <c:pt idx="9">
                  <c:v>1.5367973372781065</c:v>
                </c:pt>
                <c:pt idx="10">
                  <c:v>1.9744822485207101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74-2C4D-A906-045B5CBCECC2}"/>
            </c:ext>
          </c:extLst>
        </c:ser>
        <c:ser>
          <c:idx val="2"/>
          <c:order val="2"/>
          <c:tx>
            <c:strRef>
              <c:f>Concise!$L$2</c:f>
              <c:strCache>
                <c:ptCount val="1"/>
                <c:pt idx="0">
                  <c:v>Whitespace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Concise!$L$3:$L$13</c:f>
              <c:numCache>
                <c:formatCode>General</c:formatCode>
                <c:ptCount val="11"/>
                <c:pt idx="0">
                  <c:v>1</c:v>
                </c:pt>
                <c:pt idx="1">
                  <c:v>0.98897411313518691</c:v>
                </c:pt>
                <c:pt idx="2">
                  <c:v>1.1270373921380632</c:v>
                </c:pt>
                <c:pt idx="3">
                  <c:v>1.2186001917545541</c:v>
                </c:pt>
                <c:pt idx="4">
                  <c:v>1.3135186960690315</c:v>
                </c:pt>
                <c:pt idx="5">
                  <c:v>1.2416107382550334</c:v>
                </c:pt>
                <c:pt idx="6">
                  <c:v>1.3250239693192714</c:v>
                </c:pt>
                <c:pt idx="7">
                  <c:v>1.2483221476510067</c:v>
                </c:pt>
                <c:pt idx="8">
                  <c:v>1.592521572387344</c:v>
                </c:pt>
                <c:pt idx="9">
                  <c:v>1.587248322147651</c:v>
                </c:pt>
                <c:pt idx="10">
                  <c:v>1.6917545541706616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74-2C4D-A906-045B5CBCECC2}"/>
            </c:ext>
          </c:extLst>
        </c:ser>
        <c:ser>
          <c:idx val="3"/>
          <c:order val="3"/>
          <c:tx>
            <c:strRef>
              <c:f>Concise!$M$2</c:f>
              <c:strCache>
                <c:ptCount val="1"/>
                <c:pt idx="0">
                  <c:v>Alphanumeric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Concise!$M$3:$M$13</c:f>
              <c:numCache>
                <c:formatCode>General</c:formatCode>
                <c:ptCount val="11"/>
                <c:pt idx="0">
                  <c:v>1</c:v>
                </c:pt>
                <c:pt idx="1">
                  <c:v>1.0466281310211947</c:v>
                </c:pt>
                <c:pt idx="2">
                  <c:v>1.1822736030828516</c:v>
                </c:pt>
                <c:pt idx="3">
                  <c:v>1.23121387283237</c:v>
                </c:pt>
                <c:pt idx="4">
                  <c:v>1.166859344894027</c:v>
                </c:pt>
                <c:pt idx="5">
                  <c:v>1.3491329479768785</c:v>
                </c:pt>
                <c:pt idx="6">
                  <c:v>1.2396917148362234</c:v>
                </c:pt>
                <c:pt idx="7">
                  <c:v>1.3398843930635838</c:v>
                </c:pt>
                <c:pt idx="8">
                  <c:v>1.3876685934489403</c:v>
                </c:pt>
                <c:pt idx="9">
                  <c:v>1.4231213872832371</c:v>
                </c:pt>
                <c:pt idx="10">
                  <c:v>2.0809248554913293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74-2C4D-A906-045B5CBCECC2}"/>
            </c:ext>
          </c:extLst>
        </c:ser>
        <c:ser>
          <c:idx val="4"/>
          <c:order val="4"/>
          <c:tx>
            <c:strRef>
              <c:f>Concise!$N$2</c:f>
              <c:strCache>
                <c:ptCount val="1"/>
                <c:pt idx="0">
                  <c:v>Special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Concise!$N$3:$N$13</c:f>
              <c:numCache>
                <c:formatCode>General</c:formatCode>
                <c:ptCount val="11"/>
                <c:pt idx="0">
                  <c:v>1</c:v>
                </c:pt>
                <c:pt idx="1">
                  <c:v>0.93814432989690721</c:v>
                </c:pt>
                <c:pt idx="2">
                  <c:v>0.99263622974963184</c:v>
                </c:pt>
                <c:pt idx="3">
                  <c:v>1.2268041237113403</c:v>
                </c:pt>
                <c:pt idx="4">
                  <c:v>1.3019145802650958</c:v>
                </c:pt>
                <c:pt idx="5">
                  <c:v>1.2739322533136965</c:v>
                </c:pt>
                <c:pt idx="6">
                  <c:v>1.5022091310751104</c:v>
                </c:pt>
                <c:pt idx="7">
                  <c:v>1.6583210603829159</c:v>
                </c:pt>
                <c:pt idx="8">
                  <c:v>1.4830633284241532</c:v>
                </c:pt>
                <c:pt idx="9">
                  <c:v>1.8335787923416789</c:v>
                </c:pt>
                <c:pt idx="10">
                  <c:v>2.5493372606774667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74-2C4D-A906-045B5CBCE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9935952"/>
        <c:axId val="652995568"/>
      </c:barChart>
      <c:catAx>
        <c:axId val="172993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52995568"/>
        <c:crosses val="autoZero"/>
        <c:auto val="1"/>
        <c:lblAlgn val="ctr"/>
        <c:lblOffset val="100"/>
        <c:noMultiLvlLbl val="0"/>
      </c:catAx>
      <c:valAx>
        <c:axId val="652995568"/>
        <c:scaling>
          <c:orientation val="minMax"/>
          <c:max val="2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2993595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59947</xdr:colOff>
      <xdr:row>13</xdr:row>
      <xdr:rowOff>6846</xdr:rowOff>
    </xdr:from>
    <xdr:to>
      <xdr:col>10</xdr:col>
      <xdr:colOff>245270</xdr:colOff>
      <xdr:row>13</xdr:row>
      <xdr:rowOff>235229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2363C05-1EA8-3F22-9864-B1B506611D16}"/>
            </a:ext>
          </a:extLst>
        </xdr:cNvPr>
        <xdr:cNvSpPr/>
      </xdr:nvSpPr>
      <xdr:spPr>
        <a:xfrm rot="-600000">
          <a:off x="7225150" y="3224751"/>
          <a:ext cx="1009106" cy="228383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171621</xdr:colOff>
      <xdr:row>10</xdr:row>
      <xdr:rowOff>96109</xdr:rowOff>
    </xdr:from>
    <xdr:to>
      <xdr:col>8</xdr:col>
      <xdr:colOff>36727</xdr:colOff>
      <xdr:row>23</xdr:row>
      <xdr:rowOff>203372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7AE6F0-1772-2C89-9C1F-BBF96E2ED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77229</xdr:colOff>
      <xdr:row>13</xdr:row>
      <xdr:rowOff>137298</xdr:rowOff>
    </xdr:from>
    <xdr:to>
      <xdr:col>10</xdr:col>
      <xdr:colOff>231690</xdr:colOff>
      <xdr:row>14</xdr:row>
      <xdr:rowOff>42905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93E87F7-3C25-B7C6-BFEA-B21E7EBF72B4}"/>
            </a:ext>
          </a:extLst>
        </xdr:cNvPr>
        <xdr:cNvCxnSpPr/>
      </xdr:nvCxnSpPr>
      <xdr:spPr>
        <a:xfrm flipV="1">
          <a:off x="7242432" y="3355203"/>
          <a:ext cx="978244" cy="17162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66588</xdr:colOff>
      <xdr:row>13</xdr:row>
      <xdr:rowOff>15104</xdr:rowOff>
    </xdr:from>
    <xdr:to>
      <xdr:col>10</xdr:col>
      <xdr:colOff>221049</xdr:colOff>
      <xdr:row>13</xdr:row>
      <xdr:rowOff>186725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DEADEB50-6E13-F24E-A0F1-D9A5287EFA17}"/>
            </a:ext>
          </a:extLst>
        </xdr:cNvPr>
        <xdr:cNvCxnSpPr/>
      </xdr:nvCxnSpPr>
      <xdr:spPr>
        <a:xfrm flipV="1">
          <a:off x="7231791" y="3233009"/>
          <a:ext cx="978244" cy="17162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754317</xdr:colOff>
      <xdr:row>14</xdr:row>
      <xdr:rowOff>54133</xdr:rowOff>
    </xdr:from>
    <xdr:to>
      <xdr:col>5</xdr:col>
      <xdr:colOff>373317</xdr:colOff>
      <xdr:row>27</xdr:row>
      <xdr:rowOff>155733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6730BD-2D23-F18E-35DD-924953FB36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575360</xdr:colOff>
      <xdr:row>14</xdr:row>
      <xdr:rowOff>98234</xdr:rowOff>
    </xdr:from>
    <xdr:to>
      <xdr:col>10</xdr:col>
      <xdr:colOff>126298</xdr:colOff>
      <xdr:row>28</xdr:row>
      <xdr:rowOff>193484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30F8AB-AD18-C075-C4E3-EF410C678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266A2-5A9C-AA42-B61E-0693631C31C7}">
  <dimension ref="B4:O23"/>
  <sheetViews>
    <sheetView tabSelected="1" zoomScale="158" zoomScaleNormal="158" workbookViewId="0">
      <selection activeCell="O9" sqref="O9"/>
    </sheetView>
  </sheetViews>
  <sheetFormatPr baseColWidth="10" defaultRowHeight="16" x14ac:dyDescent="0.2"/>
  <cols>
    <col min="2" max="2" width="25.83203125" bestFit="1" customWidth="1"/>
    <col min="3" max="5" width="7.5" bestFit="1" customWidth="1"/>
    <col min="6" max="6" width="7.1640625" bestFit="1" customWidth="1"/>
    <col min="7" max="7" width="9.83203125" bestFit="1" customWidth="1"/>
    <col min="8" max="8" width="7" bestFit="1" customWidth="1"/>
  </cols>
  <sheetData>
    <row r="4" spans="2:15" ht="21" x14ac:dyDescent="0.25">
      <c r="B4" s="6" t="s">
        <v>0</v>
      </c>
      <c r="C4" s="6" t="s">
        <v>1</v>
      </c>
      <c r="D4" s="6" t="s">
        <v>2</v>
      </c>
      <c r="E4" s="6" t="s">
        <v>3</v>
      </c>
      <c r="F4" s="6" t="s">
        <v>4</v>
      </c>
      <c r="G4" s="6" t="s">
        <v>144</v>
      </c>
      <c r="H4" s="6" t="s">
        <v>10</v>
      </c>
      <c r="I4" s="6" t="s">
        <v>5</v>
      </c>
      <c r="J4" s="6" t="s">
        <v>20</v>
      </c>
      <c r="K4" s="6" t="s">
        <v>145</v>
      </c>
      <c r="L4" s="6" t="s">
        <v>146</v>
      </c>
      <c r="N4" s="1" t="s">
        <v>11</v>
      </c>
    </row>
    <row r="5" spans="2:15" ht="21" x14ac:dyDescent="0.25">
      <c r="B5" s="1" t="s">
        <v>6</v>
      </c>
      <c r="C5" s="1">
        <v>3.4</v>
      </c>
      <c r="D5" s="1">
        <v>3.3</v>
      </c>
      <c r="E5" s="1">
        <v>6.7</v>
      </c>
      <c r="F5" s="1">
        <v>2</v>
      </c>
      <c r="G5" s="1">
        <v>4</v>
      </c>
      <c r="H5" s="1">
        <v>5.5</v>
      </c>
      <c r="I5" s="1">
        <v>4.0999999999999996</v>
      </c>
      <c r="J5" s="1">
        <v>10.8</v>
      </c>
      <c r="K5" s="1">
        <v>4.5</v>
      </c>
      <c r="L5" s="1">
        <v>4.5</v>
      </c>
      <c r="N5" s="1">
        <v>67</v>
      </c>
      <c r="O5">
        <f>N5/H5</f>
        <v>12.181818181818182</v>
      </c>
    </row>
    <row r="6" spans="2:15" ht="21" x14ac:dyDescent="0.25">
      <c r="B6" s="1" t="s">
        <v>18</v>
      </c>
      <c r="C6" s="1">
        <v>1.5</v>
      </c>
      <c r="D6" s="1">
        <v>1.5</v>
      </c>
      <c r="E6" s="1">
        <v>1.5</v>
      </c>
      <c r="F6" s="1">
        <v>1.8</v>
      </c>
      <c r="G6" s="1">
        <v>1.5</v>
      </c>
      <c r="H6" s="1">
        <v>3.7</v>
      </c>
      <c r="I6" s="1">
        <v>1.4</v>
      </c>
      <c r="J6" s="1">
        <v>1.7</v>
      </c>
      <c r="K6" s="1">
        <v>1.5</v>
      </c>
      <c r="L6" s="1">
        <v>1.6</v>
      </c>
      <c r="N6" s="1">
        <v>51</v>
      </c>
      <c r="O6">
        <f>N6/H6</f>
        <v>13.783783783783782</v>
      </c>
    </row>
    <row r="7" spans="2:15" ht="21" x14ac:dyDescent="0.25">
      <c r="B7" s="1" t="s">
        <v>7</v>
      </c>
      <c r="C7" s="1">
        <v>1.3</v>
      </c>
      <c r="D7" s="1">
        <v>1.2</v>
      </c>
      <c r="E7" s="1">
        <v>1.9</v>
      </c>
      <c r="F7" s="1">
        <v>2.7</v>
      </c>
      <c r="G7" s="1">
        <v>1.6</v>
      </c>
      <c r="H7" s="1">
        <v>10.199999999999999</v>
      </c>
      <c r="I7" s="1">
        <v>1.2</v>
      </c>
      <c r="J7" s="1">
        <v>1.4</v>
      </c>
      <c r="K7" s="1">
        <v>1.3</v>
      </c>
      <c r="L7" s="1">
        <v>1.2</v>
      </c>
      <c r="N7" s="1">
        <v>143</v>
      </c>
      <c r="O7">
        <f>N7/H7</f>
        <v>14.019607843137257</v>
      </c>
    </row>
    <row r="8" spans="2:15" ht="21" x14ac:dyDescent="0.25">
      <c r="B8" s="1" t="s">
        <v>8</v>
      </c>
      <c r="C8" s="1">
        <v>1.3</v>
      </c>
      <c r="D8" s="1">
        <v>0.4</v>
      </c>
      <c r="E8" s="1">
        <v>0.6</v>
      </c>
      <c r="F8" s="1">
        <v>1.9</v>
      </c>
      <c r="G8" s="1">
        <v>24</v>
      </c>
      <c r="H8" s="1">
        <v>1.4</v>
      </c>
      <c r="I8" s="1">
        <v>1</v>
      </c>
      <c r="J8" s="1">
        <v>5</v>
      </c>
      <c r="K8" s="1">
        <v>3.2</v>
      </c>
      <c r="L8" s="1">
        <v>3.1</v>
      </c>
      <c r="N8" s="1">
        <v>2.8</v>
      </c>
      <c r="O8">
        <f>N8/H8</f>
        <v>2</v>
      </c>
    </row>
    <row r="9" spans="2:15" ht="21" x14ac:dyDescent="0.25">
      <c r="B9" s="1" t="s">
        <v>9</v>
      </c>
      <c r="C9" s="1">
        <v>1.8</v>
      </c>
      <c r="D9" s="1">
        <v>1.8</v>
      </c>
      <c r="E9" s="1">
        <v>1.8</v>
      </c>
      <c r="F9" s="1">
        <v>2.1</v>
      </c>
      <c r="G9" s="1">
        <v>1.9</v>
      </c>
      <c r="H9" s="1">
        <v>9.8000000000000007</v>
      </c>
      <c r="I9" s="1">
        <v>2</v>
      </c>
      <c r="J9" s="1">
        <v>9.8000000000000007</v>
      </c>
      <c r="K9" s="1">
        <v>1.8</v>
      </c>
      <c r="L9" s="1">
        <v>9.4</v>
      </c>
      <c r="N9" s="1">
        <v>129</v>
      </c>
      <c r="O9">
        <f>N9/H9</f>
        <v>13.163265306122447</v>
      </c>
    </row>
    <row r="10" spans="2:15" ht="21" x14ac:dyDescent="0.25">
      <c r="B10" s="1"/>
      <c r="C10" s="1">
        <f t="shared" ref="C10:I10" si="0">SUM(C5:C9)</f>
        <v>9.3000000000000007</v>
      </c>
      <c r="D10" s="1">
        <f t="shared" si="0"/>
        <v>8.2000000000000011</v>
      </c>
      <c r="E10" s="1">
        <f t="shared" si="0"/>
        <v>12.5</v>
      </c>
      <c r="F10" s="1">
        <f t="shared" si="0"/>
        <v>10.5</v>
      </c>
      <c r="G10" s="1">
        <f t="shared" si="0"/>
        <v>33</v>
      </c>
      <c r="H10" s="1">
        <f t="shared" si="0"/>
        <v>30.599999999999998</v>
      </c>
      <c r="I10" s="1">
        <f t="shared" si="0"/>
        <v>9.6999999999999993</v>
      </c>
      <c r="J10" s="1">
        <f t="shared" ref="J10" si="1">SUM(J5:J9)</f>
        <v>28.7</v>
      </c>
      <c r="K10" s="1">
        <f t="shared" ref="K10" si="2">SUM(K5:K9)</f>
        <v>12.3</v>
      </c>
      <c r="L10" s="1">
        <f t="shared" ref="L10:N10" si="3">SUM(L5:L9)</f>
        <v>19.8</v>
      </c>
      <c r="N10" s="1">
        <f t="shared" si="3"/>
        <v>392.8</v>
      </c>
      <c r="O10">
        <f>N10/H10</f>
        <v>12.836601307189543</v>
      </c>
    </row>
    <row r="12" spans="2:15" ht="21" x14ac:dyDescent="0.25">
      <c r="B12" s="1"/>
      <c r="C12" s="2"/>
      <c r="D12" s="2"/>
      <c r="E12" s="2"/>
      <c r="F12" s="2"/>
      <c r="G12" s="2"/>
      <c r="H12" s="2"/>
    </row>
    <row r="13" spans="2:15" ht="21" x14ac:dyDescent="0.25">
      <c r="B13" s="1"/>
      <c r="C13" s="1"/>
      <c r="D13" s="1"/>
      <c r="E13" s="1"/>
      <c r="F13" s="1"/>
      <c r="G13" s="1"/>
      <c r="H13" s="1"/>
    </row>
    <row r="14" spans="2:15" ht="21" x14ac:dyDescent="0.25">
      <c r="B14" s="1"/>
      <c r="C14" s="1"/>
      <c r="D14" s="1"/>
      <c r="E14" s="1"/>
      <c r="F14" s="1"/>
      <c r="G14" s="1"/>
      <c r="H14" s="1"/>
    </row>
    <row r="15" spans="2:15" ht="21" x14ac:dyDescent="0.25">
      <c r="B15" s="1"/>
      <c r="C15" s="1"/>
      <c r="D15" s="1"/>
      <c r="E15" s="1"/>
      <c r="F15" s="1"/>
      <c r="G15" s="1"/>
      <c r="H15" s="1"/>
    </row>
    <row r="16" spans="2:15" ht="21" x14ac:dyDescent="0.25">
      <c r="B16" s="1"/>
      <c r="C16" s="1"/>
      <c r="D16" s="1"/>
      <c r="E16" s="1"/>
      <c r="F16" s="1"/>
      <c r="G16" s="1"/>
      <c r="H16" s="1"/>
    </row>
    <row r="17" spans="2:14" ht="21" x14ac:dyDescent="0.25">
      <c r="B17" s="1"/>
      <c r="C17" s="1"/>
      <c r="D17" s="1"/>
      <c r="E17" s="1"/>
      <c r="F17" s="1"/>
      <c r="G17" s="1"/>
      <c r="H17" s="1"/>
      <c r="K17" s="5">
        <v>0.42202546296296295</v>
      </c>
    </row>
    <row r="18" spans="2:14" x14ac:dyDescent="0.2">
      <c r="K18" s="5">
        <v>0.4258912037037037</v>
      </c>
      <c r="L18" s="5">
        <f>K18-K17</f>
        <v>3.8657407407407529E-3</v>
      </c>
      <c r="M18">
        <v>40</v>
      </c>
    </row>
    <row r="19" spans="2:14" x14ac:dyDescent="0.2">
      <c r="M19">
        <f>60*5+30</f>
        <v>330</v>
      </c>
      <c r="N19">
        <f>M19/40</f>
        <v>8.25</v>
      </c>
    </row>
    <row r="20" spans="2:14" x14ac:dyDescent="0.2">
      <c r="N20" t="s">
        <v>21</v>
      </c>
    </row>
    <row r="21" spans="2:14" x14ac:dyDescent="0.2">
      <c r="N21">
        <f>8.25 * 2000</f>
        <v>16500</v>
      </c>
    </row>
    <row r="22" spans="2:14" x14ac:dyDescent="0.2">
      <c r="N22">
        <f>N21/60</f>
        <v>275</v>
      </c>
    </row>
    <row r="23" spans="2:14" x14ac:dyDescent="0.2">
      <c r="N23">
        <f>N22/60</f>
        <v>4.583333333333333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A3CD0-A1E2-3843-9734-943657D6AF5A}">
  <dimension ref="B2:U74"/>
  <sheetViews>
    <sheetView topLeftCell="A10" zoomScale="181" zoomScaleNormal="181" workbookViewId="0">
      <selection activeCell="K18" sqref="K18"/>
    </sheetView>
  </sheetViews>
  <sheetFormatPr baseColWidth="10" defaultRowHeight="16" x14ac:dyDescent="0.2"/>
  <cols>
    <col min="16" max="21" width="6.5" customWidth="1"/>
  </cols>
  <sheetData>
    <row r="2" spans="2:21" x14ac:dyDescent="0.2">
      <c r="B2" s="4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143</v>
      </c>
      <c r="I2" s="4" t="s">
        <v>12</v>
      </c>
      <c r="J2" t="s">
        <v>13</v>
      </c>
      <c r="K2" t="s">
        <v>14</v>
      </c>
      <c r="L2" t="s">
        <v>15</v>
      </c>
      <c r="M2" t="s">
        <v>16</v>
      </c>
      <c r="N2" t="s">
        <v>17</v>
      </c>
    </row>
    <row r="3" spans="2:21" x14ac:dyDescent="0.2">
      <c r="B3" s="4" t="s">
        <v>11</v>
      </c>
      <c r="C3">
        <v>222</v>
      </c>
      <c r="D3">
        <v>5408</v>
      </c>
      <c r="E3">
        <v>2086</v>
      </c>
      <c r="F3">
        <v>2595</v>
      </c>
      <c r="G3">
        <v>679</v>
      </c>
      <c r="H3">
        <v>50</v>
      </c>
      <c r="I3" s="4" t="str">
        <f>B3</f>
        <v>Python</v>
      </c>
      <c r="J3">
        <f>1/C$3*C3</f>
        <v>1</v>
      </c>
      <c r="K3">
        <f t="shared" ref="K3" si="0">1/D$3*D3</f>
        <v>1</v>
      </c>
      <c r="L3">
        <f t="shared" ref="L3" si="1">1/E$3*E3</f>
        <v>1</v>
      </c>
      <c r="M3">
        <f t="shared" ref="M3" si="2">1/F$3*F3</f>
        <v>1</v>
      </c>
      <c r="N3">
        <f t="shared" ref="N3" si="3">1/G$3*G3</f>
        <v>1</v>
      </c>
    </row>
    <row r="4" spans="2:21" x14ac:dyDescent="0.2">
      <c r="B4" s="4" t="s">
        <v>1</v>
      </c>
      <c r="C4">
        <v>227</v>
      </c>
      <c r="D4">
        <v>5416</v>
      </c>
      <c r="E4">
        <v>2063</v>
      </c>
      <c r="F4">
        <v>2716</v>
      </c>
      <c r="G4">
        <v>637</v>
      </c>
      <c r="H4">
        <v>0</v>
      </c>
      <c r="I4" s="4" t="str">
        <f t="shared" ref="I4:I12" si="4">B4</f>
        <v>Bau</v>
      </c>
      <c r="J4">
        <f t="shared" ref="J4:J12" si="5">1/C$3*C4</f>
        <v>1.0225225225225225</v>
      </c>
      <c r="K4">
        <f t="shared" ref="K4:K12" si="6">1/D$3*D4</f>
        <v>1.0014792899408285</v>
      </c>
      <c r="L4">
        <f t="shared" ref="L4:L12" si="7">1/E$3*E4</f>
        <v>0.98897411313518691</v>
      </c>
      <c r="M4">
        <f t="shared" ref="M4:M12" si="8">1/F$3*F4</f>
        <v>1.0466281310211947</v>
      </c>
      <c r="N4">
        <f t="shared" ref="N4:N12" si="9">1/G$3*G4</f>
        <v>0.93814432989690721</v>
      </c>
      <c r="P4">
        <f>J4-J$3</f>
        <v>2.2522522522522515E-2</v>
      </c>
      <c r="Q4">
        <f t="shared" ref="Q4:Q12" si="10">K4-K$3</f>
        <v>1.4792899408284654E-3</v>
      </c>
      <c r="R4">
        <f t="shared" ref="R4:R12" si="11">L4-L$3</f>
        <v>-1.1025886864813095E-2</v>
      </c>
      <c r="S4">
        <f t="shared" ref="S4:S12" si="12">M4-M$3</f>
        <v>4.6628131021194674E-2</v>
      </c>
      <c r="T4">
        <f t="shared" ref="T4:T12" si="13">N4-N$3</f>
        <v>-6.1855670103092786E-2</v>
      </c>
      <c r="U4">
        <f>SUM(P4:T4)</f>
        <v>-2.2516134833602264E-3</v>
      </c>
    </row>
    <row r="5" spans="2:21" x14ac:dyDescent="0.2">
      <c r="B5" s="4" t="s">
        <v>144</v>
      </c>
      <c r="C5">
        <v>252</v>
      </c>
      <c r="D5">
        <v>6096</v>
      </c>
      <c r="E5">
        <v>2351</v>
      </c>
      <c r="F5">
        <v>3068</v>
      </c>
      <c r="G5">
        <v>674</v>
      </c>
      <c r="H5">
        <v>4</v>
      </c>
      <c r="I5" s="4" t="str">
        <f t="shared" si="4"/>
        <v>Nim</v>
      </c>
      <c r="J5">
        <f t="shared" si="5"/>
        <v>1.1351351351351351</v>
      </c>
      <c r="K5">
        <f t="shared" si="6"/>
        <v>1.1272189349112425</v>
      </c>
      <c r="L5">
        <f t="shared" si="7"/>
        <v>1.1270373921380632</v>
      </c>
      <c r="M5">
        <f t="shared" si="8"/>
        <v>1.1822736030828516</v>
      </c>
      <c r="N5">
        <f t="shared" si="9"/>
        <v>0.99263622974963184</v>
      </c>
      <c r="P5">
        <f t="shared" ref="P5:P12" si="14">J5-J$3</f>
        <v>0.13513513513513509</v>
      </c>
      <c r="Q5">
        <f t="shared" si="10"/>
        <v>0.12721893491124248</v>
      </c>
      <c r="R5">
        <f t="shared" si="11"/>
        <v>0.1270373921380632</v>
      </c>
      <c r="S5">
        <f t="shared" si="12"/>
        <v>0.18227360308285157</v>
      </c>
      <c r="T5">
        <f t="shared" si="13"/>
        <v>-7.3637702503681624E-3</v>
      </c>
      <c r="U5">
        <f t="shared" ref="U5:U12" si="15">SUM(P5:T5)</f>
        <v>0.56430129501692416</v>
      </c>
    </row>
    <row r="6" spans="2:21" x14ac:dyDescent="0.2">
      <c r="B6" s="4" t="s">
        <v>20</v>
      </c>
      <c r="C6">
        <v>283</v>
      </c>
      <c r="D6">
        <v>6566</v>
      </c>
      <c r="E6">
        <v>2542</v>
      </c>
      <c r="F6">
        <v>3195</v>
      </c>
      <c r="G6">
        <v>833</v>
      </c>
      <c r="H6">
        <v>0</v>
      </c>
      <c r="I6" s="4" t="str">
        <f t="shared" si="4"/>
        <v>Swift</v>
      </c>
      <c r="J6">
        <f t="shared" si="5"/>
        <v>1.2747747747747749</v>
      </c>
      <c r="K6">
        <f t="shared" si="6"/>
        <v>1.2141272189349113</v>
      </c>
      <c r="L6">
        <f t="shared" si="7"/>
        <v>1.2186001917545541</v>
      </c>
      <c r="M6">
        <f t="shared" si="8"/>
        <v>1.23121387283237</v>
      </c>
      <c r="N6">
        <f t="shared" si="9"/>
        <v>1.2268041237113403</v>
      </c>
      <c r="P6">
        <f t="shared" si="14"/>
        <v>0.27477477477477485</v>
      </c>
      <c r="Q6">
        <f t="shared" si="10"/>
        <v>0.21412721893491127</v>
      </c>
      <c r="R6">
        <f t="shared" si="11"/>
        <v>0.21860019175455414</v>
      </c>
      <c r="S6">
        <f t="shared" si="12"/>
        <v>0.23121387283237005</v>
      </c>
      <c r="T6">
        <f t="shared" si="13"/>
        <v>0.22680412371134029</v>
      </c>
      <c r="U6">
        <f t="shared" si="15"/>
        <v>1.1655201820079506</v>
      </c>
    </row>
    <row r="7" spans="2:21" x14ac:dyDescent="0.2">
      <c r="B7" s="4" t="s">
        <v>145</v>
      </c>
      <c r="C7">
        <v>306</v>
      </c>
      <c r="D7">
        <v>6732</v>
      </c>
      <c r="E7">
        <v>2740</v>
      </c>
      <c r="F7">
        <v>3028</v>
      </c>
      <c r="G7">
        <v>884</v>
      </c>
      <c r="H7">
        <v>81</v>
      </c>
      <c r="I7" s="4" t="str">
        <f t="shared" si="4"/>
        <v>Vlang</v>
      </c>
      <c r="J7">
        <f t="shared" si="5"/>
        <v>1.3783783783783783</v>
      </c>
      <c r="K7">
        <f t="shared" si="6"/>
        <v>1.2448224852071006</v>
      </c>
      <c r="L7">
        <f t="shared" si="7"/>
        <v>1.3135186960690315</v>
      </c>
      <c r="M7">
        <f t="shared" si="8"/>
        <v>1.166859344894027</v>
      </c>
      <c r="N7">
        <f t="shared" si="9"/>
        <v>1.3019145802650958</v>
      </c>
      <c r="P7">
        <f t="shared" si="14"/>
        <v>0.37837837837837829</v>
      </c>
      <c r="Q7">
        <f t="shared" si="10"/>
        <v>0.24482248520710059</v>
      </c>
      <c r="R7">
        <f t="shared" si="11"/>
        <v>0.31351869606903149</v>
      </c>
      <c r="S7">
        <f t="shared" si="12"/>
        <v>0.16685934489402698</v>
      </c>
      <c r="T7">
        <f t="shared" si="13"/>
        <v>0.30191458026509577</v>
      </c>
      <c r="U7">
        <f t="shared" si="15"/>
        <v>1.4054934848136331</v>
      </c>
    </row>
    <row r="8" spans="2:21" x14ac:dyDescent="0.2">
      <c r="B8" s="4" t="s">
        <v>19</v>
      </c>
      <c r="C8">
        <v>277</v>
      </c>
      <c r="D8">
        <v>6953</v>
      </c>
      <c r="E8">
        <v>2590</v>
      </c>
      <c r="F8">
        <v>3501</v>
      </c>
      <c r="G8">
        <v>865</v>
      </c>
      <c r="H8">
        <v>0</v>
      </c>
      <c r="I8" s="4" t="str">
        <f t="shared" si="4"/>
        <v>Kotlin</v>
      </c>
      <c r="J8">
        <f t="shared" si="5"/>
        <v>1.2477477477477477</v>
      </c>
      <c r="K8">
        <f t="shared" si="6"/>
        <v>1.2856878698224852</v>
      </c>
      <c r="L8">
        <f t="shared" si="7"/>
        <v>1.2416107382550334</v>
      </c>
      <c r="M8">
        <f t="shared" si="8"/>
        <v>1.3491329479768785</v>
      </c>
      <c r="N8">
        <f t="shared" si="9"/>
        <v>1.2739322533136965</v>
      </c>
      <c r="P8">
        <f t="shared" si="14"/>
        <v>0.24774774774774766</v>
      </c>
      <c r="Q8">
        <f t="shared" si="10"/>
        <v>0.28568786982248517</v>
      </c>
      <c r="R8">
        <f t="shared" si="11"/>
        <v>0.24161073825503343</v>
      </c>
      <c r="S8">
        <f t="shared" si="12"/>
        <v>0.34913294797687855</v>
      </c>
      <c r="T8">
        <f t="shared" si="13"/>
        <v>0.27393225331369653</v>
      </c>
      <c r="U8">
        <f t="shared" si="15"/>
        <v>1.3981115571158413</v>
      </c>
    </row>
    <row r="9" spans="2:21" x14ac:dyDescent="0.2">
      <c r="B9" s="4" t="s">
        <v>3</v>
      </c>
      <c r="C9">
        <v>334</v>
      </c>
      <c r="D9" s="3">
        <v>7037</v>
      </c>
      <c r="E9">
        <v>2764</v>
      </c>
      <c r="F9">
        <v>3217</v>
      </c>
      <c r="G9">
        <v>1020</v>
      </c>
      <c r="H9">
        <v>9</v>
      </c>
      <c r="I9" s="4" t="str">
        <f t="shared" si="4"/>
        <v>Go</v>
      </c>
      <c r="J9">
        <f t="shared" si="5"/>
        <v>1.5045045045045045</v>
      </c>
      <c r="K9">
        <f t="shared" si="6"/>
        <v>1.3012204142011834</v>
      </c>
      <c r="L9">
        <f t="shared" si="7"/>
        <v>1.3250239693192714</v>
      </c>
      <c r="M9">
        <f t="shared" si="8"/>
        <v>1.2396917148362234</v>
      </c>
      <c r="N9">
        <f t="shared" si="9"/>
        <v>1.5022091310751104</v>
      </c>
      <c r="P9">
        <f t="shared" si="14"/>
        <v>0.50450450450450446</v>
      </c>
      <c r="Q9">
        <f t="shared" si="10"/>
        <v>0.3012204142011834</v>
      </c>
      <c r="R9">
        <f t="shared" si="11"/>
        <v>0.32502396931927136</v>
      </c>
      <c r="S9">
        <f t="shared" si="12"/>
        <v>0.23969171483622342</v>
      </c>
      <c r="T9">
        <f t="shared" si="13"/>
        <v>0.50220913107511045</v>
      </c>
      <c r="U9">
        <f t="shared" si="15"/>
        <v>1.8726497339362931</v>
      </c>
    </row>
    <row r="10" spans="2:21" x14ac:dyDescent="0.2">
      <c r="B10" s="4" t="s">
        <v>2</v>
      </c>
      <c r="C10">
        <v>306</v>
      </c>
      <c r="D10" s="3">
        <v>7268</v>
      </c>
      <c r="E10">
        <v>2604</v>
      </c>
      <c r="F10">
        <v>3477</v>
      </c>
      <c r="G10">
        <v>1126</v>
      </c>
      <c r="H10">
        <v>60</v>
      </c>
      <c r="I10" s="4" t="str">
        <f t="shared" si="4"/>
        <v>C</v>
      </c>
      <c r="J10">
        <f t="shared" si="5"/>
        <v>1.3783783783783783</v>
      </c>
      <c r="K10">
        <f t="shared" si="6"/>
        <v>1.3439349112426036</v>
      </c>
      <c r="L10">
        <f t="shared" si="7"/>
        <v>1.2483221476510067</v>
      </c>
      <c r="M10">
        <f t="shared" si="8"/>
        <v>1.3398843930635838</v>
      </c>
      <c r="N10">
        <f t="shared" si="9"/>
        <v>1.6583210603829159</v>
      </c>
      <c r="P10">
        <f t="shared" si="14"/>
        <v>0.37837837837837829</v>
      </c>
      <c r="Q10">
        <f t="shared" si="10"/>
        <v>0.34393491124260356</v>
      </c>
      <c r="R10">
        <f t="shared" si="11"/>
        <v>0.24832214765100669</v>
      </c>
      <c r="S10">
        <f t="shared" si="12"/>
        <v>0.33988439306358376</v>
      </c>
      <c r="T10">
        <f t="shared" si="13"/>
        <v>0.65832106038291593</v>
      </c>
      <c r="U10">
        <f t="shared" si="15"/>
        <v>1.9688408907184882</v>
      </c>
    </row>
    <row r="11" spans="2:21" x14ac:dyDescent="0.2">
      <c r="B11" s="4" t="s">
        <v>4</v>
      </c>
      <c r="C11">
        <v>278</v>
      </c>
      <c r="D11" s="3">
        <v>7928</v>
      </c>
      <c r="E11">
        <v>3322</v>
      </c>
      <c r="F11">
        <v>3601</v>
      </c>
      <c r="G11">
        <v>1007</v>
      </c>
      <c r="H11">
        <v>0</v>
      </c>
      <c r="I11" s="4" t="str">
        <f t="shared" si="4"/>
        <v>Java</v>
      </c>
      <c r="J11">
        <f t="shared" si="5"/>
        <v>1.2522522522522523</v>
      </c>
      <c r="K11">
        <f t="shared" si="6"/>
        <v>1.4659763313609466</v>
      </c>
      <c r="L11">
        <f t="shared" si="7"/>
        <v>1.592521572387344</v>
      </c>
      <c r="M11">
        <f t="shared" si="8"/>
        <v>1.3876685934489403</v>
      </c>
      <c r="N11">
        <f t="shared" si="9"/>
        <v>1.4830633284241532</v>
      </c>
      <c r="P11">
        <f t="shared" si="14"/>
        <v>0.25225225225225234</v>
      </c>
      <c r="Q11">
        <f t="shared" si="10"/>
        <v>0.46597633136094663</v>
      </c>
      <c r="R11">
        <f t="shared" si="11"/>
        <v>0.59252157238734404</v>
      </c>
      <c r="S11">
        <f t="shared" si="12"/>
        <v>0.38766859344894034</v>
      </c>
      <c r="T11">
        <f t="shared" si="13"/>
        <v>0.48306332842415323</v>
      </c>
      <c r="U11">
        <f t="shared" si="15"/>
        <v>2.1814820778736363</v>
      </c>
    </row>
    <row r="12" spans="2:21" x14ac:dyDescent="0.2">
      <c r="B12" s="4" t="s">
        <v>5</v>
      </c>
      <c r="C12">
        <v>340</v>
      </c>
      <c r="D12" s="3">
        <v>8311</v>
      </c>
      <c r="E12">
        <v>3311</v>
      </c>
      <c r="F12">
        <v>3693</v>
      </c>
      <c r="G12">
        <v>1245</v>
      </c>
      <c r="H12">
        <v>65</v>
      </c>
      <c r="I12" s="4" t="str">
        <f t="shared" si="4"/>
        <v>Rust</v>
      </c>
      <c r="J12">
        <f t="shared" si="5"/>
        <v>1.5315315315315314</v>
      </c>
      <c r="K12">
        <f t="shared" si="6"/>
        <v>1.5367973372781065</v>
      </c>
      <c r="L12">
        <f t="shared" si="7"/>
        <v>1.587248322147651</v>
      </c>
      <c r="M12">
        <f t="shared" si="8"/>
        <v>1.4231213872832371</v>
      </c>
      <c r="N12">
        <f t="shared" si="9"/>
        <v>1.8335787923416789</v>
      </c>
      <c r="P12">
        <f t="shared" si="14"/>
        <v>0.53153153153153143</v>
      </c>
      <c r="Q12">
        <f t="shared" si="10"/>
        <v>0.53679733727810652</v>
      </c>
      <c r="R12">
        <f t="shared" si="11"/>
        <v>0.58724832214765099</v>
      </c>
      <c r="S12">
        <f t="shared" si="12"/>
        <v>0.42312138728323712</v>
      </c>
      <c r="T12">
        <f t="shared" si="13"/>
        <v>0.83357879234167886</v>
      </c>
      <c r="U12">
        <f t="shared" si="15"/>
        <v>2.9122773705822045</v>
      </c>
    </row>
    <row r="13" spans="2:21" x14ac:dyDescent="0.2">
      <c r="B13" s="4" t="s">
        <v>146</v>
      </c>
      <c r="C13">
        <v>376</v>
      </c>
      <c r="D13" s="3">
        <v>10678</v>
      </c>
      <c r="E13">
        <v>3529</v>
      </c>
      <c r="F13">
        <v>5400</v>
      </c>
      <c r="G13">
        <v>1731</v>
      </c>
      <c r="H13">
        <v>18</v>
      </c>
      <c r="I13" s="4" t="str">
        <f t="shared" ref="I13" si="16">B13</f>
        <v>Zig</v>
      </c>
      <c r="J13">
        <f t="shared" ref="J13" si="17">1/C$3*C13</f>
        <v>1.6936936936936937</v>
      </c>
      <c r="K13">
        <f t="shared" ref="K13" si="18">1/D$3*D13</f>
        <v>1.9744822485207101</v>
      </c>
      <c r="L13">
        <f t="shared" ref="L13" si="19">1/E$3*E13</f>
        <v>1.6917545541706616</v>
      </c>
      <c r="M13">
        <f t="shared" ref="M13" si="20">1/F$3*F13</f>
        <v>2.0809248554913293</v>
      </c>
      <c r="N13">
        <f t="shared" ref="N13" si="21">1/G$3*G13</f>
        <v>2.5493372606774667</v>
      </c>
    </row>
    <row r="14" spans="2:21" x14ac:dyDescent="0.2">
      <c r="D14" s="3"/>
    </row>
    <row r="15" spans="2:21" x14ac:dyDescent="0.2">
      <c r="D15" s="3"/>
    </row>
    <row r="16" spans="2:21" x14ac:dyDescent="0.2">
      <c r="D16" s="3"/>
    </row>
    <row r="17" spans="4:4" x14ac:dyDescent="0.2">
      <c r="D17" s="3"/>
    </row>
    <row r="18" spans="4:4" x14ac:dyDescent="0.2">
      <c r="D18" s="3"/>
    </row>
    <row r="19" spans="4:4" x14ac:dyDescent="0.2">
      <c r="D19" s="3"/>
    </row>
    <row r="20" spans="4:4" x14ac:dyDescent="0.2">
      <c r="D20" s="3"/>
    </row>
    <row r="21" spans="4:4" x14ac:dyDescent="0.2">
      <c r="D21" s="3"/>
    </row>
    <row r="22" spans="4:4" x14ac:dyDescent="0.2">
      <c r="D22" s="3"/>
    </row>
    <row r="23" spans="4:4" x14ac:dyDescent="0.2">
      <c r="D23" s="3"/>
    </row>
    <row r="24" spans="4:4" x14ac:dyDescent="0.2">
      <c r="D24" s="3"/>
    </row>
    <row r="25" spans="4:4" x14ac:dyDescent="0.2">
      <c r="D25" s="3"/>
    </row>
    <row r="26" spans="4:4" x14ac:dyDescent="0.2">
      <c r="D26" s="3"/>
    </row>
    <row r="27" spans="4:4" x14ac:dyDescent="0.2">
      <c r="D27" s="3"/>
    </row>
    <row r="28" spans="4:4" x14ac:dyDescent="0.2">
      <c r="D28" s="3"/>
    </row>
    <row r="29" spans="4:4" x14ac:dyDescent="0.2">
      <c r="D29" s="3"/>
    </row>
    <row r="30" spans="4:4" x14ac:dyDescent="0.2">
      <c r="D30" s="3"/>
    </row>
    <row r="31" spans="4:4" x14ac:dyDescent="0.2">
      <c r="D31" s="3"/>
    </row>
    <row r="32" spans="4:4" x14ac:dyDescent="0.2">
      <c r="D32" s="3"/>
    </row>
    <row r="33" spans="4:11" x14ac:dyDescent="0.2">
      <c r="D33" s="3"/>
    </row>
    <row r="34" spans="4:11" x14ac:dyDescent="0.2">
      <c r="D34" s="3"/>
    </row>
    <row r="35" spans="4:11" x14ac:dyDescent="0.2">
      <c r="D35" s="3"/>
    </row>
    <row r="36" spans="4:11" x14ac:dyDescent="0.2">
      <c r="D36" s="3"/>
    </row>
    <row r="37" spans="4:11" x14ac:dyDescent="0.2">
      <c r="D37" s="3"/>
    </row>
    <row r="38" spans="4:11" x14ac:dyDescent="0.2">
      <c r="D38" s="3"/>
    </row>
    <row r="39" spans="4:11" x14ac:dyDescent="0.2">
      <c r="D39" s="3"/>
    </row>
    <row r="40" spans="4:11" x14ac:dyDescent="0.2">
      <c r="D40" s="3"/>
    </row>
    <row r="41" spans="4:11" x14ac:dyDescent="0.2">
      <c r="D41" s="3"/>
    </row>
    <row r="42" spans="4:11" x14ac:dyDescent="0.2">
      <c r="D42" s="3"/>
    </row>
    <row r="43" spans="4:11" x14ac:dyDescent="0.2">
      <c r="D43" s="3"/>
    </row>
    <row r="45" spans="4:11" x14ac:dyDescent="0.2">
      <c r="D45" s="3"/>
      <c r="I45" s="3"/>
      <c r="K45" s="3"/>
    </row>
    <row r="46" spans="4:11" x14ac:dyDescent="0.2">
      <c r="D46" s="3"/>
      <c r="I46" s="3"/>
      <c r="K46" s="3"/>
    </row>
    <row r="47" spans="4:11" x14ac:dyDescent="0.2">
      <c r="D47" s="3"/>
      <c r="I47" s="3"/>
      <c r="K47" s="3"/>
    </row>
    <row r="48" spans="4:11" x14ac:dyDescent="0.2">
      <c r="D48" s="3"/>
      <c r="I48" s="3"/>
      <c r="K48" s="3"/>
    </row>
    <row r="49" spans="4:11" x14ac:dyDescent="0.2">
      <c r="D49" s="3"/>
      <c r="I49" s="3"/>
      <c r="K49" s="3"/>
    </row>
    <row r="50" spans="4:11" x14ac:dyDescent="0.2">
      <c r="D50" s="3"/>
      <c r="I50" s="3"/>
      <c r="K50" s="3"/>
    </row>
    <row r="51" spans="4:11" x14ac:dyDescent="0.2">
      <c r="I51" s="3"/>
      <c r="K51" s="3"/>
    </row>
    <row r="52" spans="4:11" x14ac:dyDescent="0.2">
      <c r="I52" s="3"/>
      <c r="K52" s="3"/>
    </row>
    <row r="53" spans="4:11" x14ac:dyDescent="0.2">
      <c r="I53" s="3"/>
      <c r="K53" s="3"/>
    </row>
    <row r="54" spans="4:11" x14ac:dyDescent="0.2">
      <c r="I54" s="3"/>
      <c r="K54" s="3"/>
    </row>
    <row r="55" spans="4:11" x14ac:dyDescent="0.2">
      <c r="I55" s="3"/>
      <c r="K55" s="3"/>
    </row>
    <row r="56" spans="4:11" x14ac:dyDescent="0.2">
      <c r="I56" s="3"/>
      <c r="K56" s="3"/>
    </row>
    <row r="57" spans="4:11" x14ac:dyDescent="0.2">
      <c r="I57" s="3"/>
      <c r="K57" s="3"/>
    </row>
    <row r="58" spans="4:11" x14ac:dyDescent="0.2">
      <c r="I58" s="3"/>
      <c r="K58" s="3"/>
    </row>
    <row r="59" spans="4:11" x14ac:dyDescent="0.2">
      <c r="I59" s="3"/>
      <c r="K59" s="3"/>
    </row>
    <row r="60" spans="4:11" x14ac:dyDescent="0.2">
      <c r="I60" s="3"/>
      <c r="K60" s="3"/>
    </row>
    <row r="61" spans="4:11" x14ac:dyDescent="0.2">
      <c r="I61" s="3"/>
      <c r="K61" s="3"/>
    </row>
    <row r="62" spans="4:11" x14ac:dyDescent="0.2">
      <c r="I62" s="3"/>
      <c r="K62" s="3"/>
    </row>
    <row r="63" spans="4:11" x14ac:dyDescent="0.2">
      <c r="I63" s="3"/>
      <c r="K63" s="3"/>
    </row>
    <row r="64" spans="4:11" x14ac:dyDescent="0.2">
      <c r="I64" s="3"/>
      <c r="K64" s="3"/>
    </row>
    <row r="65" spans="9:11" x14ac:dyDescent="0.2">
      <c r="I65" s="3"/>
      <c r="K65" s="3"/>
    </row>
    <row r="66" spans="9:11" x14ac:dyDescent="0.2">
      <c r="I66" s="3"/>
      <c r="K66" s="3"/>
    </row>
    <row r="67" spans="9:11" x14ac:dyDescent="0.2">
      <c r="I67" s="3"/>
      <c r="K67" s="3"/>
    </row>
    <row r="68" spans="9:11" x14ac:dyDescent="0.2">
      <c r="I68" s="3"/>
      <c r="K68" s="3"/>
    </row>
    <row r="69" spans="9:11" x14ac:dyDescent="0.2">
      <c r="I69" s="3"/>
      <c r="K69" s="3"/>
    </row>
    <row r="70" spans="9:11" x14ac:dyDescent="0.2">
      <c r="I70" s="3"/>
    </row>
    <row r="71" spans="9:11" x14ac:dyDescent="0.2">
      <c r="I71" s="3"/>
    </row>
    <row r="72" spans="9:11" x14ac:dyDescent="0.2">
      <c r="I72" s="3"/>
    </row>
    <row r="73" spans="9:11" x14ac:dyDescent="0.2">
      <c r="I73" s="3"/>
    </row>
    <row r="74" spans="9:11" x14ac:dyDescent="0.2">
      <c r="I74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E9842-6C14-0245-8092-DD3DC9C4F639}">
  <dimension ref="A1:J32"/>
  <sheetViews>
    <sheetView workbookViewId="0">
      <selection activeCell="D2" sqref="D2:D32"/>
    </sheetView>
  </sheetViews>
  <sheetFormatPr baseColWidth="10" defaultRowHeight="16" x14ac:dyDescent="0.2"/>
  <cols>
    <col min="3" max="3" width="5.83203125" bestFit="1" customWidth="1"/>
    <col min="4" max="4" width="10.33203125" bestFit="1" customWidth="1"/>
    <col min="5" max="5" width="16" bestFit="1" customWidth="1"/>
    <col min="6" max="6" width="41.5" bestFit="1" customWidth="1"/>
  </cols>
  <sheetData>
    <row r="1" spans="1:10" x14ac:dyDescent="0.2">
      <c r="C1" t="s">
        <v>124</v>
      </c>
      <c r="D1" t="s">
        <v>123</v>
      </c>
      <c r="E1" t="s">
        <v>121</v>
      </c>
      <c r="F1" t="s">
        <v>122</v>
      </c>
    </row>
    <row r="2" spans="1:10" x14ac:dyDescent="0.2">
      <c r="A2" s="3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t="str">
        <f>"    " &amp; D2 &amp; "  # " &amp;J2</f>
        <v xml:space="preserve">    SIGHUP    # hang up</v>
      </c>
      <c r="J2" t="s">
        <v>125</v>
      </c>
    </row>
    <row r="3" spans="1:10" x14ac:dyDescent="0.2">
      <c r="A3" s="3" t="s">
        <v>22</v>
      </c>
      <c r="B3" t="s">
        <v>23</v>
      </c>
      <c r="C3" t="s">
        <v>28</v>
      </c>
      <c r="D3" t="s">
        <v>29</v>
      </c>
      <c r="E3" t="s">
        <v>26</v>
      </c>
      <c r="F3" t="s">
        <v>30</v>
      </c>
      <c r="G3" t="str">
        <f t="shared" ref="G3:G32" si="0">"    " &amp; D3 &amp; "  # " &amp;J3</f>
        <v xml:space="preserve">    SIGINT    # interrupt</v>
      </c>
      <c r="J3" t="s">
        <v>126</v>
      </c>
    </row>
    <row r="4" spans="1:10" x14ac:dyDescent="0.2">
      <c r="A4" s="3" t="s">
        <v>22</v>
      </c>
      <c r="B4" t="s">
        <v>23</v>
      </c>
      <c r="C4" t="s">
        <v>31</v>
      </c>
      <c r="D4" t="s">
        <v>32</v>
      </c>
      <c r="E4" t="s">
        <v>33</v>
      </c>
      <c r="F4" t="s">
        <v>34</v>
      </c>
      <c r="G4" t="str">
        <f t="shared" si="0"/>
        <v xml:space="preserve">    SIGQUIT   # quit</v>
      </c>
      <c r="J4" t="s">
        <v>127</v>
      </c>
    </row>
    <row r="5" spans="1:10" x14ac:dyDescent="0.2">
      <c r="A5" s="3" t="s">
        <v>22</v>
      </c>
      <c r="B5" t="s">
        <v>23</v>
      </c>
      <c r="C5" t="s">
        <v>35</v>
      </c>
      <c r="D5" t="s">
        <v>36</v>
      </c>
      <c r="E5" t="s">
        <v>33</v>
      </c>
      <c r="F5" t="s">
        <v>37</v>
      </c>
      <c r="G5" t="str">
        <f t="shared" si="0"/>
        <v xml:space="preserve">    SIGILL    # illegal</v>
      </c>
      <c r="J5" t="s">
        <v>128</v>
      </c>
    </row>
    <row r="6" spans="1:10" x14ac:dyDescent="0.2">
      <c r="A6" s="3" t="s">
        <v>22</v>
      </c>
      <c r="B6" t="s">
        <v>23</v>
      </c>
      <c r="C6" t="s">
        <v>38</v>
      </c>
      <c r="D6" t="s">
        <v>39</v>
      </c>
      <c r="E6" t="s">
        <v>33</v>
      </c>
      <c r="F6" t="s">
        <v>40</v>
      </c>
      <c r="G6" t="str">
        <f t="shared" si="0"/>
        <v xml:space="preserve">    SIGTRAP   # trap</v>
      </c>
      <c r="J6" t="s">
        <v>129</v>
      </c>
    </row>
    <row r="7" spans="1:10" x14ac:dyDescent="0.2">
      <c r="A7" s="3" t="s">
        <v>22</v>
      </c>
      <c r="B7" t="s">
        <v>23</v>
      </c>
      <c r="C7" t="s">
        <v>41</v>
      </c>
      <c r="D7" t="s">
        <v>42</v>
      </c>
      <c r="E7" t="s">
        <v>33</v>
      </c>
      <c r="F7" t="s">
        <v>43</v>
      </c>
      <c r="G7" t="str">
        <f t="shared" si="0"/>
        <v xml:space="preserve">    SIGABRT   # abort</v>
      </c>
      <c r="J7" t="s">
        <v>130</v>
      </c>
    </row>
    <row r="8" spans="1:10" x14ac:dyDescent="0.2">
      <c r="A8" s="3" t="s">
        <v>22</v>
      </c>
      <c r="B8" t="s">
        <v>23</v>
      </c>
      <c r="C8" t="s">
        <v>44</v>
      </c>
      <c r="D8" t="s">
        <v>45</v>
      </c>
      <c r="E8" t="s">
        <v>33</v>
      </c>
      <c r="F8" t="s">
        <v>46</v>
      </c>
      <c r="G8" t="str">
        <f t="shared" si="0"/>
        <v xml:space="preserve">    SIGEMT    # emulate</v>
      </c>
      <c r="J8" t="s">
        <v>131</v>
      </c>
    </row>
    <row r="9" spans="1:10" x14ac:dyDescent="0.2">
      <c r="A9" s="3" t="s">
        <v>22</v>
      </c>
      <c r="B9" t="s">
        <v>23</v>
      </c>
      <c r="C9" t="s">
        <v>47</v>
      </c>
      <c r="D9" t="s">
        <v>48</v>
      </c>
      <c r="E9" t="s">
        <v>33</v>
      </c>
      <c r="F9" t="s">
        <v>49</v>
      </c>
      <c r="G9" t="str">
        <f t="shared" si="0"/>
        <v xml:space="preserve">    SIGFPE    # floating point exception</v>
      </c>
      <c r="J9" t="s">
        <v>133</v>
      </c>
    </row>
    <row r="10" spans="1:10" x14ac:dyDescent="0.2">
      <c r="A10" s="3" t="s">
        <v>22</v>
      </c>
      <c r="B10" t="s">
        <v>23</v>
      </c>
      <c r="C10" t="s">
        <v>50</v>
      </c>
      <c r="D10" t="s">
        <v>51</v>
      </c>
      <c r="E10" t="s">
        <v>26</v>
      </c>
      <c r="F10" t="s">
        <v>52</v>
      </c>
      <c r="G10" t="str">
        <f t="shared" si="0"/>
        <v xml:space="preserve">    SIGKILL   # kill</v>
      </c>
      <c r="J10" t="s">
        <v>132</v>
      </c>
    </row>
    <row r="11" spans="1:10" x14ac:dyDescent="0.2">
      <c r="A11" s="3" t="s">
        <v>22</v>
      </c>
      <c r="B11" t="s">
        <v>23</v>
      </c>
      <c r="C11" t="s">
        <v>53</v>
      </c>
      <c r="D11" t="s">
        <v>54</v>
      </c>
      <c r="E11" t="s">
        <v>33</v>
      </c>
      <c r="F11" t="s">
        <v>55</v>
      </c>
      <c r="G11" t="str">
        <f t="shared" si="0"/>
        <v xml:space="preserve">    SIGBUS    # bus error</v>
      </c>
      <c r="J11" t="s">
        <v>55</v>
      </c>
    </row>
    <row r="12" spans="1:10" x14ac:dyDescent="0.2">
      <c r="A12" s="3" t="s">
        <v>22</v>
      </c>
      <c r="B12" t="s">
        <v>23</v>
      </c>
      <c r="C12" t="s">
        <v>56</v>
      </c>
      <c r="D12" t="s">
        <v>57</v>
      </c>
      <c r="E12" t="s">
        <v>33</v>
      </c>
      <c r="F12" t="s">
        <v>58</v>
      </c>
      <c r="G12" t="str">
        <f t="shared" si="0"/>
        <v xml:space="preserve">    SIGSEGV   # segmentation violation</v>
      </c>
      <c r="J12" t="s">
        <v>58</v>
      </c>
    </row>
    <row r="13" spans="1:10" x14ac:dyDescent="0.2">
      <c r="A13" s="3" t="s">
        <v>22</v>
      </c>
      <c r="B13" t="s">
        <v>23</v>
      </c>
      <c r="C13" t="s">
        <v>59</v>
      </c>
      <c r="D13" t="s">
        <v>60</v>
      </c>
      <c r="E13" t="s">
        <v>33</v>
      </c>
      <c r="F13" t="s">
        <v>61</v>
      </c>
      <c r="G13" t="str">
        <f t="shared" si="0"/>
        <v xml:space="preserve">    SIGSYS    # non-existent syscall</v>
      </c>
      <c r="J13" t="s">
        <v>134</v>
      </c>
    </row>
    <row r="14" spans="1:10" x14ac:dyDescent="0.2">
      <c r="A14" s="3" t="s">
        <v>22</v>
      </c>
      <c r="B14" t="s">
        <v>23</v>
      </c>
      <c r="C14" t="s">
        <v>62</v>
      </c>
      <c r="D14" t="s">
        <v>63</v>
      </c>
      <c r="E14" t="s">
        <v>26</v>
      </c>
      <c r="F14" t="s">
        <v>64</v>
      </c>
      <c r="G14" t="str">
        <f t="shared" si="0"/>
        <v xml:space="preserve">    SIGPIPE   # pipe without reader</v>
      </c>
      <c r="J14" t="s">
        <v>135</v>
      </c>
    </row>
    <row r="15" spans="1:10" x14ac:dyDescent="0.2">
      <c r="A15" s="3" t="s">
        <v>22</v>
      </c>
      <c r="B15" t="s">
        <v>23</v>
      </c>
      <c r="C15" t="s">
        <v>65</v>
      </c>
      <c r="D15" t="s">
        <v>66</v>
      </c>
      <c r="E15" t="s">
        <v>26</v>
      </c>
      <c r="F15" t="s">
        <v>67</v>
      </c>
      <c r="G15" t="str">
        <f t="shared" si="0"/>
        <v xml:space="preserve">    SIGALRM   # timer</v>
      </c>
      <c r="J15" t="s">
        <v>136</v>
      </c>
    </row>
    <row r="16" spans="1:10" x14ac:dyDescent="0.2">
      <c r="A16" s="3" t="s">
        <v>22</v>
      </c>
      <c r="B16" t="s">
        <v>23</v>
      </c>
      <c r="C16" t="s">
        <v>68</v>
      </c>
      <c r="D16" t="s">
        <v>69</v>
      </c>
      <c r="E16" t="s">
        <v>26</v>
      </c>
      <c r="F16" t="s">
        <v>70</v>
      </c>
      <c r="G16" t="str">
        <f t="shared" si="0"/>
        <v xml:space="preserve">    SIGTERM   # terminate</v>
      </c>
      <c r="J16" t="s">
        <v>137</v>
      </c>
    </row>
    <row r="17" spans="1:10" x14ac:dyDescent="0.2">
      <c r="A17" s="3" t="s">
        <v>22</v>
      </c>
      <c r="B17" t="s">
        <v>23</v>
      </c>
      <c r="C17" t="s">
        <v>71</v>
      </c>
      <c r="D17" t="s">
        <v>72</v>
      </c>
      <c r="E17" t="s">
        <v>73</v>
      </c>
      <c r="F17" t="s">
        <v>74</v>
      </c>
      <c r="G17" t="str">
        <f t="shared" si="0"/>
        <v xml:space="preserve">    SIGURG    # urgent</v>
      </c>
      <c r="J17" t="s">
        <v>138</v>
      </c>
    </row>
    <row r="18" spans="1:10" x14ac:dyDescent="0.2">
      <c r="A18" s="3" t="s">
        <v>22</v>
      </c>
      <c r="B18" t="s">
        <v>23</v>
      </c>
      <c r="C18" t="s">
        <v>75</v>
      </c>
      <c r="D18" t="s">
        <v>76</v>
      </c>
      <c r="E18" t="s">
        <v>77</v>
      </c>
      <c r="F18" t="s">
        <v>78</v>
      </c>
      <c r="G18" t="str">
        <f t="shared" si="0"/>
        <v xml:space="preserve">    SIGSTOP   # stop</v>
      </c>
      <c r="J18" t="s">
        <v>139</v>
      </c>
    </row>
    <row r="19" spans="1:10" x14ac:dyDescent="0.2">
      <c r="A19" s="3" t="s">
        <v>22</v>
      </c>
      <c r="B19" t="s">
        <v>23</v>
      </c>
      <c r="C19" t="s">
        <v>79</v>
      </c>
      <c r="D19" t="s">
        <v>80</v>
      </c>
      <c r="E19" t="s">
        <v>77</v>
      </c>
      <c r="F19" t="s">
        <v>81</v>
      </c>
      <c r="G19" t="str">
        <f t="shared" si="0"/>
        <v xml:space="preserve">    SIGTSTP   # </v>
      </c>
    </row>
    <row r="20" spans="1:10" x14ac:dyDescent="0.2">
      <c r="A20" s="3" t="s">
        <v>22</v>
      </c>
      <c r="B20" t="s">
        <v>23</v>
      </c>
      <c r="C20" t="s">
        <v>82</v>
      </c>
      <c r="D20" t="s">
        <v>83</v>
      </c>
      <c r="E20" t="s">
        <v>73</v>
      </c>
      <c r="F20" t="s">
        <v>84</v>
      </c>
      <c r="G20" t="str">
        <f t="shared" si="0"/>
        <v xml:space="preserve">    SIGCONT   # continue</v>
      </c>
      <c r="J20" t="s">
        <v>140</v>
      </c>
    </row>
    <row r="21" spans="1:10" x14ac:dyDescent="0.2">
      <c r="A21" s="3" t="s">
        <v>22</v>
      </c>
      <c r="B21" t="s">
        <v>23</v>
      </c>
      <c r="C21" t="s">
        <v>85</v>
      </c>
      <c r="D21" t="s">
        <v>86</v>
      </c>
      <c r="E21" t="s">
        <v>73</v>
      </c>
      <c r="F21" t="s">
        <v>87</v>
      </c>
      <c r="G21" t="str">
        <f t="shared" si="0"/>
        <v xml:space="preserve">    SIGCHLD   # child</v>
      </c>
      <c r="J21" t="s">
        <v>141</v>
      </c>
    </row>
    <row r="22" spans="1:10" x14ac:dyDescent="0.2">
      <c r="A22" s="3" t="s">
        <v>22</v>
      </c>
      <c r="B22" t="s">
        <v>23</v>
      </c>
      <c r="C22" t="s">
        <v>88</v>
      </c>
      <c r="D22" t="s">
        <v>89</v>
      </c>
      <c r="E22" t="s">
        <v>77</v>
      </c>
      <c r="F22" t="s">
        <v>90</v>
      </c>
      <c r="G22" t="str">
        <f t="shared" si="0"/>
        <v xml:space="preserve">    SIGTTIN   # </v>
      </c>
    </row>
    <row r="23" spans="1:10" x14ac:dyDescent="0.2">
      <c r="A23" s="3" t="s">
        <v>22</v>
      </c>
      <c r="B23" t="s">
        <v>23</v>
      </c>
      <c r="C23" t="s">
        <v>91</v>
      </c>
      <c r="D23" t="s">
        <v>92</v>
      </c>
      <c r="E23" t="s">
        <v>77</v>
      </c>
      <c r="F23" t="s">
        <v>93</v>
      </c>
      <c r="G23" t="str">
        <f t="shared" si="0"/>
        <v xml:space="preserve">    SIGTTOU   # </v>
      </c>
    </row>
    <row r="24" spans="1:10" x14ac:dyDescent="0.2">
      <c r="A24" s="3" t="s">
        <v>22</v>
      </c>
      <c r="B24" t="s">
        <v>23</v>
      </c>
      <c r="C24" t="s">
        <v>94</v>
      </c>
      <c r="D24" t="s">
        <v>95</v>
      </c>
      <c r="E24" t="s">
        <v>73</v>
      </c>
      <c r="F24" t="s">
        <v>96</v>
      </c>
      <c r="G24" t="str">
        <f t="shared" si="0"/>
        <v xml:space="preserve">    SIGIO     # </v>
      </c>
    </row>
    <row r="25" spans="1:10" x14ac:dyDescent="0.2">
      <c r="A25" s="3" t="s">
        <v>22</v>
      </c>
      <c r="B25" t="s">
        <v>23</v>
      </c>
      <c r="C25" t="s">
        <v>97</v>
      </c>
      <c r="D25" t="s">
        <v>98</v>
      </c>
      <c r="E25" t="s">
        <v>26</v>
      </c>
      <c r="F25" t="s">
        <v>99</v>
      </c>
      <c r="G25" t="str">
        <f t="shared" si="0"/>
        <v xml:space="preserve">    SIGXCPU   # </v>
      </c>
    </row>
    <row r="26" spans="1:10" x14ac:dyDescent="0.2">
      <c r="A26" s="3" t="s">
        <v>22</v>
      </c>
      <c r="B26" t="s">
        <v>23</v>
      </c>
      <c r="C26" t="s">
        <v>100</v>
      </c>
      <c r="D26" t="s">
        <v>101</v>
      </c>
      <c r="E26" t="s">
        <v>26</v>
      </c>
      <c r="F26" t="s">
        <v>102</v>
      </c>
      <c r="G26" t="str">
        <f t="shared" si="0"/>
        <v xml:space="preserve">    SIGXFSZ   # </v>
      </c>
    </row>
    <row r="27" spans="1:10" x14ac:dyDescent="0.2">
      <c r="A27" s="3" t="s">
        <v>22</v>
      </c>
      <c r="B27" t="s">
        <v>23</v>
      </c>
      <c r="C27" t="s">
        <v>103</v>
      </c>
      <c r="D27" t="s">
        <v>120</v>
      </c>
      <c r="E27" t="s">
        <v>26</v>
      </c>
      <c r="F27" t="s">
        <v>104</v>
      </c>
      <c r="G27" t="str">
        <f t="shared" si="0"/>
        <v xml:space="preserve">    SIGVTALRM  # </v>
      </c>
    </row>
    <row r="28" spans="1:10" x14ac:dyDescent="0.2">
      <c r="A28" s="3" t="s">
        <v>22</v>
      </c>
      <c r="B28" t="s">
        <v>23</v>
      </c>
      <c r="C28" t="s">
        <v>105</v>
      </c>
      <c r="D28" t="s">
        <v>106</v>
      </c>
      <c r="E28" t="s">
        <v>26</v>
      </c>
      <c r="F28" t="s">
        <v>107</v>
      </c>
      <c r="G28" t="str">
        <f t="shared" si="0"/>
        <v xml:space="preserve">    SIGPROF   # </v>
      </c>
    </row>
    <row r="29" spans="1:10" x14ac:dyDescent="0.2">
      <c r="A29" s="3" t="s">
        <v>22</v>
      </c>
      <c r="B29" t="s">
        <v>23</v>
      </c>
      <c r="C29" t="s">
        <v>108</v>
      </c>
      <c r="D29" t="s">
        <v>109</v>
      </c>
      <c r="E29" t="s">
        <v>73</v>
      </c>
      <c r="F29" t="s">
        <v>110</v>
      </c>
      <c r="G29" t="str">
        <f t="shared" si="0"/>
        <v xml:space="preserve">    SIGWINCH  # window size changed</v>
      </c>
      <c r="J29" t="s">
        <v>142</v>
      </c>
    </row>
    <row r="30" spans="1:10" x14ac:dyDescent="0.2">
      <c r="A30" s="3" t="s">
        <v>22</v>
      </c>
      <c r="B30" t="s">
        <v>23</v>
      </c>
      <c r="C30" t="s">
        <v>111</v>
      </c>
      <c r="D30" t="s">
        <v>112</v>
      </c>
      <c r="E30" t="s">
        <v>73</v>
      </c>
      <c r="F30" t="s">
        <v>113</v>
      </c>
      <c r="G30" t="str">
        <f t="shared" si="0"/>
        <v xml:space="preserve">    SIGINFO   # </v>
      </c>
    </row>
    <row r="31" spans="1:10" x14ac:dyDescent="0.2">
      <c r="A31" s="3" t="s">
        <v>22</v>
      </c>
      <c r="B31" t="s">
        <v>23</v>
      </c>
      <c r="C31" t="s">
        <v>114</v>
      </c>
      <c r="D31" t="s">
        <v>115</v>
      </c>
      <c r="E31" t="s">
        <v>26</v>
      </c>
      <c r="F31" t="s">
        <v>116</v>
      </c>
      <c r="G31" t="str">
        <f t="shared" si="0"/>
        <v xml:space="preserve">    SIGUSR1   # </v>
      </c>
    </row>
    <row r="32" spans="1:10" x14ac:dyDescent="0.2">
      <c r="A32" s="3" t="s">
        <v>22</v>
      </c>
      <c r="B32" t="s">
        <v>23</v>
      </c>
      <c r="C32" t="s">
        <v>117</v>
      </c>
      <c r="D32" t="s">
        <v>118</v>
      </c>
      <c r="E32" t="s">
        <v>26</v>
      </c>
      <c r="F32" t="s">
        <v>119</v>
      </c>
      <c r="G32" t="str">
        <f t="shared" si="0"/>
        <v xml:space="preserve">    SIGUSR2   #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Performance</vt:lpstr>
      <vt:lpstr>Concise</vt:lpstr>
      <vt:lpstr>signal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Mueller</dc:creator>
  <cp:lastModifiedBy>Thomas Mueller</cp:lastModifiedBy>
  <dcterms:created xsi:type="dcterms:W3CDTF">2025-06-19T18:04:29Z</dcterms:created>
  <dcterms:modified xsi:type="dcterms:W3CDTF">2025-10-10T20:13:48Z</dcterms:modified>
</cp:coreProperties>
</file>