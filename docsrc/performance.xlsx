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eller/data/bau/docsrc/"/>
    </mc:Choice>
  </mc:AlternateContent>
  <xr:revisionPtr revIDLastSave="0" documentId="13_ncr:1_{5501AD02-AC3A-8A41-A8C2-8121B33635ED}" xr6:coauthVersionLast="47" xr6:coauthVersionMax="47" xr10:uidLastSave="{00000000-0000-0000-0000-000000000000}"/>
  <bookViews>
    <workbookView xWindow="4320" yWindow="500" windowWidth="34040" windowHeight="17500" xr2:uid="{8BA8907E-A4D7-9D46-8614-8210467CB087}"/>
  </bookViews>
  <sheets>
    <sheet name="Performance" sheetId="1" r:id="rId1"/>
    <sheet name="Concise" sheetId="2" r:id="rId2"/>
    <sheet name="Memo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1" l="1"/>
  <c r="O10" i="1"/>
  <c r="L11" i="1"/>
  <c r="K11" i="1"/>
  <c r="J11" i="1"/>
  <c r="I11" i="1"/>
  <c r="H11" i="1"/>
  <c r="G11" i="1"/>
  <c r="F11" i="1"/>
  <c r="E11" i="1"/>
  <c r="D11" i="1"/>
  <c r="C11" i="1"/>
  <c r="O9" i="1"/>
  <c r="O8" i="1"/>
  <c r="O7" i="1"/>
  <c r="O6" i="1"/>
  <c r="O5" i="1"/>
  <c r="N13" i="2"/>
  <c r="M13" i="2"/>
  <c r="L13" i="2"/>
  <c r="K13" i="2"/>
  <c r="J13" i="2"/>
  <c r="I13" i="2"/>
  <c r="N12" i="2"/>
  <c r="T12" i="2" s="1"/>
  <c r="M12" i="2"/>
  <c r="L12" i="2"/>
  <c r="K12" i="2"/>
  <c r="J12" i="2"/>
  <c r="I12" i="2"/>
  <c r="N11" i="2"/>
  <c r="T11" i="2" s="1"/>
  <c r="M11" i="2"/>
  <c r="S11" i="2" s="1"/>
  <c r="L11" i="2"/>
  <c r="R11" i="2" s="1"/>
  <c r="K11" i="2"/>
  <c r="J11" i="2"/>
  <c r="I11" i="2"/>
  <c r="N10" i="2"/>
  <c r="M10" i="2"/>
  <c r="L10" i="2"/>
  <c r="K10" i="2"/>
  <c r="J10" i="2"/>
  <c r="I10" i="2"/>
  <c r="N9" i="2"/>
  <c r="T9" i="2" s="1"/>
  <c r="M9" i="2"/>
  <c r="L9" i="2"/>
  <c r="K9" i="2"/>
  <c r="J9" i="2"/>
  <c r="I9" i="2"/>
  <c r="N8" i="2"/>
  <c r="M8" i="2"/>
  <c r="L8" i="2"/>
  <c r="K8" i="2"/>
  <c r="J8" i="2"/>
  <c r="I8" i="2"/>
  <c r="N7" i="2"/>
  <c r="T7" i="2" s="1"/>
  <c r="M7" i="2"/>
  <c r="S7" i="2" s="1"/>
  <c r="L7" i="2"/>
  <c r="K7" i="2"/>
  <c r="J7" i="2"/>
  <c r="I7" i="2"/>
  <c r="N6" i="2"/>
  <c r="T6" i="2" s="1"/>
  <c r="M6" i="2"/>
  <c r="S6" i="2" s="1"/>
  <c r="L6" i="2"/>
  <c r="K6" i="2"/>
  <c r="J6" i="2"/>
  <c r="P6" i="2" s="1"/>
  <c r="I6" i="2"/>
  <c r="N5" i="2"/>
  <c r="M5" i="2"/>
  <c r="L5" i="2"/>
  <c r="K5" i="2"/>
  <c r="J5" i="2"/>
  <c r="I5" i="2"/>
  <c r="N4" i="2"/>
  <c r="T4" i="2" s="1"/>
  <c r="M4" i="2"/>
  <c r="L4" i="2"/>
  <c r="K4" i="2"/>
  <c r="J4" i="2"/>
  <c r="I4" i="2"/>
  <c r="N22" i="1"/>
  <c r="N23" i="1" s="1"/>
  <c r="N24" i="1" s="1"/>
  <c r="M20" i="1"/>
  <c r="N20" i="1" s="1"/>
  <c r="L19" i="1"/>
  <c r="I3" i="2"/>
  <c r="N3" i="2"/>
  <c r="M3" i="2"/>
  <c r="L3" i="2"/>
  <c r="K3" i="2"/>
  <c r="J3" i="2"/>
  <c r="O11" i="1" l="1"/>
  <c r="S5" i="2"/>
  <c r="P10" i="2"/>
  <c r="P7" i="2"/>
  <c r="U7" i="2" s="1"/>
  <c r="Q7" i="2"/>
  <c r="T5" i="2"/>
  <c r="Q6" i="2"/>
  <c r="U6" i="2" s="1"/>
  <c r="Q10" i="2"/>
  <c r="P5" i="2"/>
  <c r="R6" i="2"/>
  <c r="R10" i="2"/>
  <c r="P8" i="2"/>
  <c r="P9" i="2"/>
  <c r="Q9" i="2"/>
  <c r="R9" i="2"/>
  <c r="P12" i="2"/>
  <c r="S9" i="2"/>
  <c r="Q12" i="2"/>
  <c r="R4" i="2"/>
  <c r="P11" i="2"/>
  <c r="R12" i="2"/>
  <c r="R7" i="2"/>
  <c r="S10" i="2"/>
  <c r="P4" i="2"/>
  <c r="T10" i="2"/>
  <c r="Q4" i="2"/>
  <c r="S4" i="2"/>
  <c r="Q11" i="2"/>
  <c r="U11" i="2" s="1"/>
  <c r="S12" i="2"/>
  <c r="U5" i="2"/>
  <c r="Q8" i="2"/>
  <c r="Q5" i="2"/>
  <c r="R8" i="2"/>
  <c r="R5" i="2"/>
  <c r="S8" i="2"/>
  <c r="T8" i="2"/>
  <c r="U12" i="2" l="1"/>
  <c r="U9" i="2"/>
  <c r="U4" i="2"/>
  <c r="U10" i="2"/>
  <c r="U8" i="2"/>
</calcChain>
</file>

<file path=xl/sharedStrings.xml><?xml version="1.0" encoding="utf-8"?>
<sst xmlns="http://schemas.openxmlformats.org/spreadsheetml/2006/main" count="51" uniqueCount="28">
  <si>
    <t>Benchmark</t>
  </si>
  <si>
    <t>Bau</t>
  </si>
  <si>
    <t>C</t>
  </si>
  <si>
    <t>Go</t>
  </si>
  <si>
    <t>Java</t>
  </si>
  <si>
    <t>Rust</t>
  </si>
  <si>
    <t>Binary Trees</t>
  </si>
  <si>
    <t>SpeedTest</t>
  </si>
  <si>
    <t>Pi Digits</t>
  </si>
  <si>
    <t>Mandelbrot</t>
  </si>
  <si>
    <t>PyPy</t>
  </si>
  <si>
    <t>Python</t>
  </si>
  <si>
    <t>Language</t>
  </si>
  <si>
    <t>Lines</t>
  </si>
  <si>
    <t>Bytes</t>
  </si>
  <si>
    <t>Whitespace</t>
  </si>
  <si>
    <t>Alphanumeric</t>
  </si>
  <si>
    <t>Special</t>
  </si>
  <si>
    <t>Fannkuch</t>
  </si>
  <si>
    <t>Kotlin</t>
  </si>
  <si>
    <t>Swift</t>
  </si>
  <si>
    <t>8.25 seconds per million nodes</t>
  </si>
  <si>
    <t>Underscore</t>
  </si>
  <si>
    <t>Nim</t>
  </si>
  <si>
    <t>Vlang</t>
  </si>
  <si>
    <t>Zig</t>
  </si>
  <si>
    <t>Stop-the-world GC pause in ms</t>
  </si>
  <si>
    <t>Nbody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</si>
</sst>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6"/>
      <color rgb="FF1F2328"/>
      <name val="Helvetica"/>
      <family val="2"/>
    </font>
    <font>
      <sz val="16"/>
      <color rgb="FF1F2328"/>
      <name val="Helvetica"/>
      <family val="2"/>
    </font>
    <font>
      <sz val="11"/>
      <color rgb="FF000000"/>
      <name val="Menlo"/>
      <family val="2"/>
    </font>
    <font>
      <sz val="12"/>
      <color rgb="FF000000"/>
      <name val="Menlo"/>
      <family val="2"/>
    </font>
    <font>
      <sz val="16"/>
      <color rgb="FF1F2328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21" fontId="0" fillId="0" borderId="0" xfId="0" applyNumberForma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Performance!$B$5</c:f>
              <c:strCache>
                <c:ptCount val="1"/>
                <c:pt idx="0">
                  <c:v>Binary Trees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Performance!$C$4:$L$4</c:f>
              <c:strCache>
                <c:ptCount val="10"/>
                <c:pt idx="0">
                  <c:v>Bau</c:v>
                </c:pt>
                <c:pt idx="1">
                  <c:v>C</c:v>
                </c:pt>
                <c:pt idx="2">
                  <c:v>Go</c:v>
                </c:pt>
                <c:pt idx="3">
                  <c:v>Java</c:v>
                </c:pt>
                <c:pt idx="4">
                  <c:v>Nim</c:v>
                </c:pt>
                <c:pt idx="5">
                  <c:v>PyPy</c:v>
                </c:pt>
                <c:pt idx="6">
                  <c:v>Rust</c:v>
                </c:pt>
                <c:pt idx="7">
                  <c:v>Swift</c:v>
                </c:pt>
                <c:pt idx="8">
                  <c:v>Vlang</c:v>
                </c:pt>
                <c:pt idx="9">
                  <c:v>Zig</c:v>
                </c:pt>
              </c:strCache>
            </c:strRef>
          </c:cat>
          <c:val>
            <c:numRef>
              <c:f>Performance!$C$5:$L$5</c:f>
              <c:numCache>
                <c:formatCode>General</c:formatCode>
                <c:ptCount val="10"/>
                <c:pt idx="0">
                  <c:v>3.4</c:v>
                </c:pt>
                <c:pt idx="1">
                  <c:v>3.3</c:v>
                </c:pt>
                <c:pt idx="2">
                  <c:v>6.7</c:v>
                </c:pt>
                <c:pt idx="3">
                  <c:v>2</c:v>
                </c:pt>
                <c:pt idx="4">
                  <c:v>4</c:v>
                </c:pt>
                <c:pt idx="5">
                  <c:v>5.5</c:v>
                </c:pt>
                <c:pt idx="6">
                  <c:v>4.0999999999999996</c:v>
                </c:pt>
                <c:pt idx="7">
                  <c:v>10.8</c:v>
                </c:pt>
                <c:pt idx="8">
                  <c:v>4.5</c:v>
                </c:pt>
                <c:pt idx="9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4A-2A4F-8C3D-1F740C03D694}"/>
            </c:ext>
          </c:extLst>
        </c:ser>
        <c:ser>
          <c:idx val="1"/>
          <c:order val="1"/>
          <c:tx>
            <c:strRef>
              <c:f>Performance!$B$6</c:f>
              <c:strCache>
                <c:ptCount val="1"/>
                <c:pt idx="0">
                  <c:v>Fannkuch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Performance!$C$4:$L$4</c:f>
              <c:strCache>
                <c:ptCount val="10"/>
                <c:pt idx="0">
                  <c:v>Bau</c:v>
                </c:pt>
                <c:pt idx="1">
                  <c:v>C</c:v>
                </c:pt>
                <c:pt idx="2">
                  <c:v>Go</c:v>
                </c:pt>
                <c:pt idx="3">
                  <c:v>Java</c:v>
                </c:pt>
                <c:pt idx="4">
                  <c:v>Nim</c:v>
                </c:pt>
                <c:pt idx="5">
                  <c:v>PyPy</c:v>
                </c:pt>
                <c:pt idx="6">
                  <c:v>Rust</c:v>
                </c:pt>
                <c:pt idx="7">
                  <c:v>Swift</c:v>
                </c:pt>
                <c:pt idx="8">
                  <c:v>Vlang</c:v>
                </c:pt>
                <c:pt idx="9">
                  <c:v>Zig</c:v>
                </c:pt>
              </c:strCache>
            </c:strRef>
          </c:cat>
          <c:val>
            <c:numRef>
              <c:f>Performance!$C$6:$L$6</c:f>
              <c:numCache>
                <c:formatCode>General</c:formatCode>
                <c:ptCount val="10"/>
                <c:pt idx="0">
                  <c:v>1.5</c:v>
                </c:pt>
                <c:pt idx="1">
                  <c:v>1.5</c:v>
                </c:pt>
                <c:pt idx="2">
                  <c:v>1.5</c:v>
                </c:pt>
                <c:pt idx="3">
                  <c:v>1.8</c:v>
                </c:pt>
                <c:pt idx="4">
                  <c:v>1.5</c:v>
                </c:pt>
                <c:pt idx="5">
                  <c:v>3.7</c:v>
                </c:pt>
                <c:pt idx="6">
                  <c:v>1.4</c:v>
                </c:pt>
                <c:pt idx="7">
                  <c:v>1.7</c:v>
                </c:pt>
                <c:pt idx="8">
                  <c:v>1.5</c:v>
                </c:pt>
                <c:pt idx="9">
                  <c:v>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4A-2A4F-8C3D-1F740C03D694}"/>
            </c:ext>
          </c:extLst>
        </c:ser>
        <c:ser>
          <c:idx val="2"/>
          <c:order val="2"/>
          <c:tx>
            <c:strRef>
              <c:f>Performance!$B$7</c:f>
              <c:strCache>
                <c:ptCount val="1"/>
                <c:pt idx="0">
                  <c:v>SpeedTest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Performance!$C$4:$L$4</c:f>
              <c:strCache>
                <c:ptCount val="10"/>
                <c:pt idx="0">
                  <c:v>Bau</c:v>
                </c:pt>
                <c:pt idx="1">
                  <c:v>C</c:v>
                </c:pt>
                <c:pt idx="2">
                  <c:v>Go</c:v>
                </c:pt>
                <c:pt idx="3">
                  <c:v>Java</c:v>
                </c:pt>
                <c:pt idx="4">
                  <c:v>Nim</c:v>
                </c:pt>
                <c:pt idx="5">
                  <c:v>PyPy</c:v>
                </c:pt>
                <c:pt idx="6">
                  <c:v>Rust</c:v>
                </c:pt>
                <c:pt idx="7">
                  <c:v>Swift</c:v>
                </c:pt>
                <c:pt idx="8">
                  <c:v>Vlang</c:v>
                </c:pt>
                <c:pt idx="9">
                  <c:v>Zig</c:v>
                </c:pt>
              </c:strCache>
            </c:strRef>
          </c:cat>
          <c:val>
            <c:numRef>
              <c:f>Performance!$C$7:$L$7</c:f>
              <c:numCache>
                <c:formatCode>General</c:formatCode>
                <c:ptCount val="10"/>
                <c:pt idx="0">
                  <c:v>1.3</c:v>
                </c:pt>
                <c:pt idx="1">
                  <c:v>1.2</c:v>
                </c:pt>
                <c:pt idx="2">
                  <c:v>1.9</c:v>
                </c:pt>
                <c:pt idx="3">
                  <c:v>2.7</c:v>
                </c:pt>
                <c:pt idx="4">
                  <c:v>1.6</c:v>
                </c:pt>
                <c:pt idx="5">
                  <c:v>10.199999999999999</c:v>
                </c:pt>
                <c:pt idx="6">
                  <c:v>1.2</c:v>
                </c:pt>
                <c:pt idx="7">
                  <c:v>1.4</c:v>
                </c:pt>
                <c:pt idx="8">
                  <c:v>1.3</c:v>
                </c:pt>
                <c:pt idx="9">
                  <c:v>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4A-2A4F-8C3D-1F740C03D694}"/>
            </c:ext>
          </c:extLst>
        </c:ser>
        <c:ser>
          <c:idx val="3"/>
          <c:order val="3"/>
          <c:tx>
            <c:strRef>
              <c:f>Performance!$B$8</c:f>
              <c:strCache>
                <c:ptCount val="1"/>
                <c:pt idx="0">
                  <c:v>Pi Digits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Performance!$C$4:$L$4</c:f>
              <c:strCache>
                <c:ptCount val="10"/>
                <c:pt idx="0">
                  <c:v>Bau</c:v>
                </c:pt>
                <c:pt idx="1">
                  <c:v>C</c:v>
                </c:pt>
                <c:pt idx="2">
                  <c:v>Go</c:v>
                </c:pt>
                <c:pt idx="3">
                  <c:v>Java</c:v>
                </c:pt>
                <c:pt idx="4">
                  <c:v>Nim</c:v>
                </c:pt>
                <c:pt idx="5">
                  <c:v>PyPy</c:v>
                </c:pt>
                <c:pt idx="6">
                  <c:v>Rust</c:v>
                </c:pt>
                <c:pt idx="7">
                  <c:v>Swift</c:v>
                </c:pt>
                <c:pt idx="8">
                  <c:v>Vlang</c:v>
                </c:pt>
                <c:pt idx="9">
                  <c:v>Zig</c:v>
                </c:pt>
              </c:strCache>
            </c:strRef>
          </c:cat>
          <c:val>
            <c:numRef>
              <c:f>Performance!$C$8:$L$8</c:f>
              <c:numCache>
                <c:formatCode>General</c:formatCode>
                <c:ptCount val="10"/>
                <c:pt idx="0">
                  <c:v>1.3</c:v>
                </c:pt>
                <c:pt idx="1">
                  <c:v>0.4</c:v>
                </c:pt>
                <c:pt idx="2">
                  <c:v>0.6</c:v>
                </c:pt>
                <c:pt idx="3">
                  <c:v>1.9</c:v>
                </c:pt>
                <c:pt idx="4">
                  <c:v>24</c:v>
                </c:pt>
                <c:pt idx="5">
                  <c:v>1.4</c:v>
                </c:pt>
                <c:pt idx="6">
                  <c:v>1</c:v>
                </c:pt>
                <c:pt idx="7">
                  <c:v>5</c:v>
                </c:pt>
                <c:pt idx="8">
                  <c:v>3.2</c:v>
                </c:pt>
                <c:pt idx="9">
                  <c:v>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4A-2A4F-8C3D-1F740C03D694}"/>
            </c:ext>
          </c:extLst>
        </c:ser>
        <c:ser>
          <c:idx val="4"/>
          <c:order val="4"/>
          <c:tx>
            <c:strRef>
              <c:f>Performance!$B$9</c:f>
              <c:strCache>
                <c:ptCount val="1"/>
                <c:pt idx="0">
                  <c:v>Mandelbrot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Performance!$C$4:$L$4</c:f>
              <c:strCache>
                <c:ptCount val="10"/>
                <c:pt idx="0">
                  <c:v>Bau</c:v>
                </c:pt>
                <c:pt idx="1">
                  <c:v>C</c:v>
                </c:pt>
                <c:pt idx="2">
                  <c:v>Go</c:v>
                </c:pt>
                <c:pt idx="3">
                  <c:v>Java</c:v>
                </c:pt>
                <c:pt idx="4">
                  <c:v>Nim</c:v>
                </c:pt>
                <c:pt idx="5">
                  <c:v>PyPy</c:v>
                </c:pt>
                <c:pt idx="6">
                  <c:v>Rust</c:v>
                </c:pt>
                <c:pt idx="7">
                  <c:v>Swift</c:v>
                </c:pt>
                <c:pt idx="8">
                  <c:v>Vlang</c:v>
                </c:pt>
                <c:pt idx="9">
                  <c:v>Zig</c:v>
                </c:pt>
              </c:strCache>
            </c:strRef>
          </c:cat>
          <c:val>
            <c:numRef>
              <c:f>Performance!$C$9:$L$9</c:f>
              <c:numCache>
                <c:formatCode>General</c:formatCode>
                <c:ptCount val="10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2.1</c:v>
                </c:pt>
                <c:pt idx="4">
                  <c:v>1.9</c:v>
                </c:pt>
                <c:pt idx="5">
                  <c:v>9.8000000000000007</c:v>
                </c:pt>
                <c:pt idx="6">
                  <c:v>2</c:v>
                </c:pt>
                <c:pt idx="7">
                  <c:v>9.8000000000000007</c:v>
                </c:pt>
                <c:pt idx="8">
                  <c:v>1.8</c:v>
                </c:pt>
                <c:pt idx="9">
                  <c:v>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4A-2A4F-8C3D-1F740C03D694}"/>
            </c:ext>
          </c:extLst>
        </c:ser>
        <c:ser>
          <c:idx val="5"/>
          <c:order val="5"/>
          <c:tx>
            <c:strRef>
              <c:f>Performance!$B$10</c:f>
              <c:strCache>
                <c:ptCount val="1"/>
                <c:pt idx="0">
                  <c:v>Nbody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Performance!$C$4:$L$4</c:f>
              <c:strCache>
                <c:ptCount val="10"/>
                <c:pt idx="0">
                  <c:v>Bau</c:v>
                </c:pt>
                <c:pt idx="1">
                  <c:v>C</c:v>
                </c:pt>
                <c:pt idx="2">
                  <c:v>Go</c:v>
                </c:pt>
                <c:pt idx="3">
                  <c:v>Java</c:v>
                </c:pt>
                <c:pt idx="4">
                  <c:v>Nim</c:v>
                </c:pt>
                <c:pt idx="5">
                  <c:v>PyPy</c:v>
                </c:pt>
                <c:pt idx="6">
                  <c:v>Rust</c:v>
                </c:pt>
                <c:pt idx="7">
                  <c:v>Swift</c:v>
                </c:pt>
                <c:pt idx="8">
                  <c:v>Vlang</c:v>
                </c:pt>
                <c:pt idx="9">
                  <c:v>Zig</c:v>
                </c:pt>
              </c:strCache>
            </c:strRef>
          </c:cat>
          <c:val>
            <c:numRef>
              <c:f>Performance!$C$10:$L$10</c:f>
              <c:numCache>
                <c:formatCode>General</c:formatCode>
                <c:ptCount val="10"/>
                <c:pt idx="0">
                  <c:v>1.5</c:v>
                </c:pt>
                <c:pt idx="1">
                  <c:v>1.4</c:v>
                </c:pt>
                <c:pt idx="2">
                  <c:v>1.5</c:v>
                </c:pt>
                <c:pt idx="3">
                  <c:v>1.9</c:v>
                </c:pt>
                <c:pt idx="4">
                  <c:v>1.6</c:v>
                </c:pt>
                <c:pt idx="5">
                  <c:v>10.4</c:v>
                </c:pt>
                <c:pt idx="6">
                  <c:v>1.7</c:v>
                </c:pt>
                <c:pt idx="7">
                  <c:v>1.7</c:v>
                </c:pt>
                <c:pt idx="8">
                  <c:v>1.6</c:v>
                </c:pt>
                <c:pt idx="9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FE-7147-B843-EA0864A67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839984"/>
        <c:axId val="15769792"/>
      </c:barChart>
      <c:catAx>
        <c:axId val="1583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5769792"/>
        <c:crosses val="autoZero"/>
        <c:auto val="1"/>
        <c:lblAlgn val="ctr"/>
        <c:lblOffset val="100"/>
        <c:noMultiLvlLbl val="0"/>
      </c:catAx>
      <c:valAx>
        <c:axId val="15769792"/>
        <c:scaling>
          <c:orientation val="minMax"/>
          <c:max val="1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\-0\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5839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Syntax Statistics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Concise!$B$3</c:f>
              <c:strCache>
                <c:ptCount val="1"/>
                <c:pt idx="0">
                  <c:v>Python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Concise!$C$2:$F$2</c:f>
              <c:strCache>
                <c:ptCount val="4"/>
                <c:pt idx="0">
                  <c:v>Lines</c:v>
                </c:pt>
                <c:pt idx="1">
                  <c:v>Bytes</c:v>
                </c:pt>
                <c:pt idx="2">
                  <c:v>Whitespace</c:v>
                </c:pt>
                <c:pt idx="3">
                  <c:v>Alphanumeric</c:v>
                </c:pt>
              </c:strCache>
            </c:strRef>
          </c:cat>
          <c:val>
            <c:numRef>
              <c:f>Concise!$C$3:$F$3</c:f>
              <c:numCache>
                <c:formatCode>General</c:formatCode>
                <c:ptCount val="4"/>
                <c:pt idx="0">
                  <c:v>354</c:v>
                </c:pt>
                <c:pt idx="1">
                  <c:v>9349</c:v>
                </c:pt>
                <c:pt idx="2">
                  <c:v>3496</c:v>
                </c:pt>
                <c:pt idx="3">
                  <c:v>4572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04-B54E-B7F7-3461ED87B74D}"/>
            </c:ext>
          </c:extLst>
        </c:ser>
        <c:ser>
          <c:idx val="1"/>
          <c:order val="1"/>
          <c:tx>
            <c:strRef>
              <c:f>Concise!$B$4</c:f>
              <c:strCache>
                <c:ptCount val="1"/>
                <c:pt idx="0">
                  <c:v>Bau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Concise!$C$2:$F$2</c:f>
              <c:strCache>
                <c:ptCount val="4"/>
                <c:pt idx="0">
                  <c:v>Lines</c:v>
                </c:pt>
                <c:pt idx="1">
                  <c:v>Bytes</c:v>
                </c:pt>
                <c:pt idx="2">
                  <c:v>Whitespace</c:v>
                </c:pt>
                <c:pt idx="3">
                  <c:v>Alphanumeric</c:v>
                </c:pt>
              </c:strCache>
            </c:strRef>
          </c:cat>
          <c:val>
            <c:numRef>
              <c:f>Concise!$C$4:$F$4</c:f>
              <c:numCache>
                <c:formatCode>General</c:formatCode>
                <c:ptCount val="4"/>
                <c:pt idx="0">
                  <c:v>354</c:v>
                </c:pt>
                <c:pt idx="1">
                  <c:v>9324</c:v>
                </c:pt>
                <c:pt idx="2">
                  <c:v>3506</c:v>
                </c:pt>
                <c:pt idx="3">
                  <c:v>4668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04-B54E-B7F7-3461ED87B74D}"/>
            </c:ext>
          </c:extLst>
        </c:ser>
        <c:ser>
          <c:idx val="2"/>
          <c:order val="2"/>
          <c:tx>
            <c:strRef>
              <c:f>Concise!$B$5</c:f>
              <c:strCache>
                <c:ptCount val="1"/>
                <c:pt idx="0">
                  <c:v>Nim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Concise!$C$2:$F$2</c:f>
              <c:strCache>
                <c:ptCount val="4"/>
                <c:pt idx="0">
                  <c:v>Lines</c:v>
                </c:pt>
                <c:pt idx="1">
                  <c:v>Bytes</c:v>
                </c:pt>
                <c:pt idx="2">
                  <c:v>Whitespace</c:v>
                </c:pt>
                <c:pt idx="3">
                  <c:v>Alphanumeric</c:v>
                </c:pt>
              </c:strCache>
            </c:strRef>
          </c:cat>
          <c:val>
            <c:numRef>
              <c:f>Concise!$C$5:$F$5</c:f>
              <c:numCache>
                <c:formatCode>General</c:formatCode>
                <c:ptCount val="4"/>
                <c:pt idx="0">
                  <c:v>381</c:v>
                </c:pt>
                <c:pt idx="1">
                  <c:v>10311</c:v>
                </c:pt>
                <c:pt idx="2">
                  <c:v>3808</c:v>
                </c:pt>
                <c:pt idx="3">
                  <c:v>5252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04-B54E-B7F7-3461ED87B74D}"/>
            </c:ext>
          </c:extLst>
        </c:ser>
        <c:ser>
          <c:idx val="4"/>
          <c:order val="3"/>
          <c:tx>
            <c:strRef>
              <c:f>Concise!$B$6</c:f>
              <c:strCache>
                <c:ptCount val="1"/>
                <c:pt idx="0">
                  <c:v>Swift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Concise!$C$2:$F$2</c:f>
              <c:strCache>
                <c:ptCount val="4"/>
                <c:pt idx="0">
                  <c:v>Lines</c:v>
                </c:pt>
                <c:pt idx="1">
                  <c:v>Bytes</c:v>
                </c:pt>
                <c:pt idx="2">
                  <c:v>Whitespace</c:v>
                </c:pt>
                <c:pt idx="3">
                  <c:v>Alphanumeric</c:v>
                </c:pt>
              </c:strCache>
            </c:strRef>
          </c:cat>
          <c:val>
            <c:numRef>
              <c:f>Concise!$C$6:$F$6</c:f>
              <c:numCache>
                <c:formatCode>General</c:formatCode>
                <c:ptCount val="4"/>
                <c:pt idx="0">
                  <c:v>433</c:v>
                </c:pt>
                <c:pt idx="1">
                  <c:v>10997</c:v>
                </c:pt>
                <c:pt idx="2">
                  <c:v>4114</c:v>
                </c:pt>
                <c:pt idx="3">
                  <c:v>5416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D04-B54E-B7F7-3461ED87B74D}"/>
            </c:ext>
          </c:extLst>
        </c:ser>
        <c:ser>
          <c:idx val="5"/>
          <c:order val="4"/>
          <c:tx>
            <c:strRef>
              <c:f>Concise!$B$7</c:f>
              <c:strCache>
                <c:ptCount val="1"/>
                <c:pt idx="0">
                  <c:v>Vlang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Concise!$C$2:$F$2</c:f>
              <c:strCache>
                <c:ptCount val="4"/>
                <c:pt idx="0">
                  <c:v>Lines</c:v>
                </c:pt>
                <c:pt idx="1">
                  <c:v>Bytes</c:v>
                </c:pt>
                <c:pt idx="2">
                  <c:v>Whitespace</c:v>
                </c:pt>
                <c:pt idx="3">
                  <c:v>Alphanumeric</c:v>
                </c:pt>
              </c:strCache>
            </c:strRef>
          </c:cat>
          <c:val>
            <c:numRef>
              <c:f>Concise!$C$7:$F$7</c:f>
              <c:numCache>
                <c:formatCode>General</c:formatCode>
                <c:ptCount val="4"/>
                <c:pt idx="0">
                  <c:v>456</c:v>
                </c:pt>
                <c:pt idx="1">
                  <c:v>10800</c:v>
                </c:pt>
                <c:pt idx="2">
                  <c:v>4259</c:v>
                </c:pt>
                <c:pt idx="3">
                  <c:v>4993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D04-B54E-B7F7-3461ED87B74D}"/>
            </c:ext>
          </c:extLst>
        </c:ser>
        <c:ser>
          <c:idx val="3"/>
          <c:order val="5"/>
          <c:tx>
            <c:strRef>
              <c:f>Concise!$B$8</c:f>
              <c:strCache>
                <c:ptCount val="1"/>
                <c:pt idx="0">
                  <c:v>Kotlin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Concise!$C$2:$F$2</c:f>
              <c:strCache>
                <c:ptCount val="4"/>
                <c:pt idx="0">
                  <c:v>Lines</c:v>
                </c:pt>
                <c:pt idx="1">
                  <c:v>Bytes</c:v>
                </c:pt>
                <c:pt idx="2">
                  <c:v>Whitespace</c:v>
                </c:pt>
                <c:pt idx="3">
                  <c:v>Alphanumeric</c:v>
                </c:pt>
              </c:strCache>
            </c:strRef>
          </c:cat>
          <c:val>
            <c:numRef>
              <c:f>Concise!$C$8:$F$8</c:f>
              <c:numCache>
                <c:formatCode>General</c:formatCode>
                <c:ptCount val="4"/>
                <c:pt idx="0">
                  <c:v>436</c:v>
                </c:pt>
                <c:pt idx="1">
                  <c:v>11901</c:v>
                </c:pt>
                <c:pt idx="2">
                  <c:v>4717</c:v>
                </c:pt>
                <c:pt idx="3">
                  <c:v>5676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D04-B54E-B7F7-3461ED87B74D}"/>
            </c:ext>
          </c:extLst>
        </c:ser>
        <c:ser>
          <c:idx val="6"/>
          <c:order val="6"/>
          <c:tx>
            <c:strRef>
              <c:f>Concise!$B$9</c:f>
              <c:strCache>
                <c:ptCount val="1"/>
                <c:pt idx="0">
                  <c:v>Go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Concise!$C$2:$F$2</c:f>
              <c:strCache>
                <c:ptCount val="4"/>
                <c:pt idx="0">
                  <c:v>Lines</c:v>
                </c:pt>
                <c:pt idx="1">
                  <c:v>Bytes</c:v>
                </c:pt>
                <c:pt idx="2">
                  <c:v>Whitespace</c:v>
                </c:pt>
                <c:pt idx="3">
                  <c:v>Alphanumeric</c:v>
                </c:pt>
              </c:strCache>
            </c:strRef>
          </c:cat>
          <c:val>
            <c:numRef>
              <c:f>Concise!$C$9:$F$9</c:f>
              <c:numCache>
                <c:formatCode>General</c:formatCode>
                <c:ptCount val="4"/>
                <c:pt idx="0">
                  <c:v>483</c:v>
                </c:pt>
                <c:pt idx="1">
                  <c:v>11208</c:v>
                </c:pt>
                <c:pt idx="2">
                  <c:v>4306</c:v>
                </c:pt>
                <c:pt idx="3">
                  <c:v>5230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F6-E946-8D0D-119611D52763}"/>
            </c:ext>
          </c:extLst>
        </c:ser>
        <c:ser>
          <c:idx val="7"/>
          <c:order val="7"/>
          <c:tx>
            <c:strRef>
              <c:f>Concise!$B$10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Concise!$C$2:$F$2</c:f>
              <c:strCache>
                <c:ptCount val="4"/>
                <c:pt idx="0">
                  <c:v>Lines</c:v>
                </c:pt>
                <c:pt idx="1">
                  <c:v>Bytes</c:v>
                </c:pt>
                <c:pt idx="2">
                  <c:v>Whitespace</c:v>
                </c:pt>
                <c:pt idx="3">
                  <c:v>Alphanumeric</c:v>
                </c:pt>
              </c:strCache>
            </c:strRef>
          </c:cat>
          <c:val>
            <c:numRef>
              <c:f>Concise!$C$10:$F$10</c:f>
              <c:numCache>
                <c:formatCode>General</c:formatCode>
                <c:ptCount val="4"/>
                <c:pt idx="0">
                  <c:v>455</c:v>
                </c:pt>
                <c:pt idx="1">
                  <c:v>11821</c:v>
                </c:pt>
                <c:pt idx="2">
                  <c:v>4186</c:v>
                </c:pt>
                <c:pt idx="3">
                  <c:v>5709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F6-E946-8D0D-119611D52763}"/>
            </c:ext>
          </c:extLst>
        </c:ser>
        <c:ser>
          <c:idx val="8"/>
          <c:order val="8"/>
          <c:tx>
            <c:strRef>
              <c:f>Concise!$B$11</c:f>
              <c:strCache>
                <c:ptCount val="1"/>
                <c:pt idx="0">
                  <c:v>Java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Concise!$C$2:$F$2</c:f>
              <c:strCache>
                <c:ptCount val="4"/>
                <c:pt idx="0">
                  <c:v>Lines</c:v>
                </c:pt>
                <c:pt idx="1">
                  <c:v>Bytes</c:v>
                </c:pt>
                <c:pt idx="2">
                  <c:v>Whitespace</c:v>
                </c:pt>
                <c:pt idx="3">
                  <c:v>Alphanumeric</c:v>
                </c:pt>
              </c:strCache>
            </c:strRef>
          </c:cat>
          <c:val>
            <c:numRef>
              <c:f>Concise!$C$11:$F$11</c:f>
              <c:numCache>
                <c:formatCode>General</c:formatCode>
                <c:ptCount val="4"/>
                <c:pt idx="0">
                  <c:v>430</c:v>
                </c:pt>
                <c:pt idx="1">
                  <c:v>13126</c:v>
                </c:pt>
                <c:pt idx="2">
                  <c:v>5449</c:v>
                </c:pt>
                <c:pt idx="3">
                  <c:v>5960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F6-E946-8D0D-119611D52763}"/>
            </c:ext>
          </c:extLst>
        </c:ser>
        <c:ser>
          <c:idx val="9"/>
          <c:order val="9"/>
          <c:tx>
            <c:strRef>
              <c:f>Concise!$B$12</c:f>
              <c:strCache>
                <c:ptCount val="1"/>
                <c:pt idx="0">
                  <c:v>Rust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Concise!$C$2:$F$2</c:f>
              <c:strCache>
                <c:ptCount val="4"/>
                <c:pt idx="0">
                  <c:v>Lines</c:v>
                </c:pt>
                <c:pt idx="1">
                  <c:v>Bytes</c:v>
                </c:pt>
                <c:pt idx="2">
                  <c:v>Whitespace</c:v>
                </c:pt>
                <c:pt idx="3">
                  <c:v>Alphanumeric</c:v>
                </c:pt>
              </c:strCache>
            </c:strRef>
          </c:cat>
          <c:val>
            <c:numRef>
              <c:f>Concise!$C$12:$F$12</c:f>
              <c:numCache>
                <c:formatCode>General</c:formatCode>
                <c:ptCount val="4"/>
                <c:pt idx="0">
                  <c:v>491</c:v>
                </c:pt>
                <c:pt idx="1">
                  <c:v>12778</c:v>
                </c:pt>
                <c:pt idx="2">
                  <c:v>4885</c:v>
                </c:pt>
                <c:pt idx="3">
                  <c:v>5854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F6-E946-8D0D-119611D52763}"/>
            </c:ext>
          </c:extLst>
        </c:ser>
        <c:ser>
          <c:idx val="10"/>
          <c:order val="10"/>
          <c:tx>
            <c:strRef>
              <c:f>Concise!$B$13</c:f>
              <c:strCache>
                <c:ptCount val="1"/>
                <c:pt idx="0">
                  <c:v>Zig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Concise!$C$2:$F$2</c:f>
              <c:strCache>
                <c:ptCount val="4"/>
                <c:pt idx="0">
                  <c:v>Lines</c:v>
                </c:pt>
                <c:pt idx="1">
                  <c:v>Bytes</c:v>
                </c:pt>
                <c:pt idx="2">
                  <c:v>Whitespace</c:v>
                </c:pt>
                <c:pt idx="3">
                  <c:v>Alphanumeric</c:v>
                </c:pt>
              </c:strCache>
            </c:strRef>
          </c:cat>
          <c:val>
            <c:numRef>
              <c:f>Concise!$C$13:$F$13</c:f>
              <c:numCache>
                <c:formatCode>General</c:formatCode>
                <c:ptCount val="4"/>
                <c:pt idx="0">
                  <c:v>538</c:v>
                </c:pt>
                <c:pt idx="1">
                  <c:v>15363</c:v>
                </c:pt>
                <c:pt idx="2">
                  <c:v>5306</c:v>
                </c:pt>
                <c:pt idx="3">
                  <c:v>7495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10-6F45-BF22-CF375864CE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08731712"/>
        <c:axId val="1808772160"/>
      </c:barChart>
      <c:catAx>
        <c:axId val="180873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808772160"/>
        <c:crosses val="autoZero"/>
        <c:auto val="1"/>
        <c:lblAlgn val="ctr"/>
        <c:lblOffset val="100"/>
        <c:noMultiLvlLbl val="0"/>
      </c:catAx>
      <c:valAx>
        <c:axId val="180877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808731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>
                <a:effectLst/>
              </a:rPr>
              <a:t>Syntax</a:t>
            </a:r>
            <a:r>
              <a:rPr lang="en-GB"/>
              <a:t> Metrics:</a:t>
            </a:r>
            <a:r>
              <a:rPr lang="en-GB" baseline="0"/>
              <a:t> </a:t>
            </a:r>
            <a:r>
              <a:rPr lang="en-GB"/>
              <a:t>Comparison to Python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Concise!$J$2</c:f>
              <c:strCache>
                <c:ptCount val="1"/>
                <c:pt idx="0">
                  <c:v>Lines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Concise!$I$3:$I$13</c:f>
              <c:strCache>
                <c:ptCount val="11"/>
                <c:pt idx="0">
                  <c:v>Python</c:v>
                </c:pt>
                <c:pt idx="1">
                  <c:v>Bau</c:v>
                </c:pt>
                <c:pt idx="2">
                  <c:v>Nim</c:v>
                </c:pt>
                <c:pt idx="3">
                  <c:v>Swift</c:v>
                </c:pt>
                <c:pt idx="4">
                  <c:v>Vlang</c:v>
                </c:pt>
                <c:pt idx="5">
                  <c:v>Kotlin</c:v>
                </c:pt>
                <c:pt idx="6">
                  <c:v>Go</c:v>
                </c:pt>
                <c:pt idx="7">
                  <c:v>C</c:v>
                </c:pt>
                <c:pt idx="8">
                  <c:v>Java</c:v>
                </c:pt>
                <c:pt idx="9">
                  <c:v>Rust</c:v>
                </c:pt>
                <c:pt idx="10">
                  <c:v>Zig</c:v>
                </c:pt>
              </c:strCache>
            </c:strRef>
          </c:cat>
          <c:val>
            <c:numRef>
              <c:f>Concise!$J$3:$J$13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1.076271186440678</c:v>
                </c:pt>
                <c:pt idx="3">
                  <c:v>1.2231638418079096</c:v>
                </c:pt>
                <c:pt idx="4">
                  <c:v>1.2881355932203389</c:v>
                </c:pt>
                <c:pt idx="5">
                  <c:v>1.231638418079096</c:v>
                </c:pt>
                <c:pt idx="6">
                  <c:v>1.3644067796610169</c:v>
                </c:pt>
                <c:pt idx="7">
                  <c:v>1.2853107344632768</c:v>
                </c:pt>
                <c:pt idx="8">
                  <c:v>1.2146892655367232</c:v>
                </c:pt>
                <c:pt idx="9">
                  <c:v>1.3870056497175141</c:v>
                </c:pt>
                <c:pt idx="10">
                  <c:v>1.5197740112994351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74-2C4D-A906-045B5CBCECC2}"/>
            </c:ext>
          </c:extLst>
        </c:ser>
        <c:ser>
          <c:idx val="1"/>
          <c:order val="1"/>
          <c:tx>
            <c:strRef>
              <c:f>Concise!$K$2</c:f>
              <c:strCache>
                <c:ptCount val="1"/>
                <c:pt idx="0">
                  <c:v>Bytes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Concise!$I$3:$I$13</c:f>
              <c:strCache>
                <c:ptCount val="11"/>
                <c:pt idx="0">
                  <c:v>Python</c:v>
                </c:pt>
                <c:pt idx="1">
                  <c:v>Bau</c:v>
                </c:pt>
                <c:pt idx="2">
                  <c:v>Nim</c:v>
                </c:pt>
                <c:pt idx="3">
                  <c:v>Swift</c:v>
                </c:pt>
                <c:pt idx="4">
                  <c:v>Vlang</c:v>
                </c:pt>
                <c:pt idx="5">
                  <c:v>Kotlin</c:v>
                </c:pt>
                <c:pt idx="6">
                  <c:v>Go</c:v>
                </c:pt>
                <c:pt idx="7">
                  <c:v>C</c:v>
                </c:pt>
                <c:pt idx="8">
                  <c:v>Java</c:v>
                </c:pt>
                <c:pt idx="9">
                  <c:v>Rust</c:v>
                </c:pt>
                <c:pt idx="10">
                  <c:v>Zig</c:v>
                </c:pt>
              </c:strCache>
            </c:strRef>
          </c:cat>
          <c:val>
            <c:numRef>
              <c:f>Concise!$K$3:$K$13</c:f>
              <c:numCache>
                <c:formatCode>General</c:formatCode>
                <c:ptCount val="11"/>
                <c:pt idx="0">
                  <c:v>1</c:v>
                </c:pt>
                <c:pt idx="1">
                  <c:v>0.99732591721039687</c:v>
                </c:pt>
                <c:pt idx="2">
                  <c:v>1.1028987057439299</c:v>
                </c:pt>
                <c:pt idx="3">
                  <c:v>1.1762755374906408</c:v>
                </c:pt>
                <c:pt idx="4">
                  <c:v>1.1552037651085678</c:v>
                </c:pt>
                <c:pt idx="5">
                  <c:v>1.2729703711626912</c:v>
                </c:pt>
                <c:pt idx="6">
                  <c:v>1.1988447962348916</c:v>
                </c:pt>
                <c:pt idx="7">
                  <c:v>1.264413306235961</c:v>
                </c:pt>
                <c:pt idx="8">
                  <c:v>1.4040004278532463</c:v>
                </c:pt>
                <c:pt idx="9">
                  <c:v>1.3667771954219703</c:v>
                </c:pt>
                <c:pt idx="10">
                  <c:v>1.6432773558669378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74-2C4D-A906-045B5CBCECC2}"/>
            </c:ext>
          </c:extLst>
        </c:ser>
        <c:ser>
          <c:idx val="2"/>
          <c:order val="2"/>
          <c:tx>
            <c:strRef>
              <c:f>Concise!$L$2</c:f>
              <c:strCache>
                <c:ptCount val="1"/>
                <c:pt idx="0">
                  <c:v>Whitespace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Concise!$I$3:$I$13</c:f>
              <c:strCache>
                <c:ptCount val="11"/>
                <c:pt idx="0">
                  <c:v>Python</c:v>
                </c:pt>
                <c:pt idx="1">
                  <c:v>Bau</c:v>
                </c:pt>
                <c:pt idx="2">
                  <c:v>Nim</c:v>
                </c:pt>
                <c:pt idx="3">
                  <c:v>Swift</c:v>
                </c:pt>
                <c:pt idx="4">
                  <c:v>Vlang</c:v>
                </c:pt>
                <c:pt idx="5">
                  <c:v>Kotlin</c:v>
                </c:pt>
                <c:pt idx="6">
                  <c:v>Go</c:v>
                </c:pt>
                <c:pt idx="7">
                  <c:v>C</c:v>
                </c:pt>
                <c:pt idx="8">
                  <c:v>Java</c:v>
                </c:pt>
                <c:pt idx="9">
                  <c:v>Rust</c:v>
                </c:pt>
                <c:pt idx="10">
                  <c:v>Zig</c:v>
                </c:pt>
              </c:strCache>
            </c:strRef>
          </c:cat>
          <c:val>
            <c:numRef>
              <c:f>Concise!$L$3:$L$13</c:f>
              <c:numCache>
                <c:formatCode>General</c:formatCode>
                <c:ptCount val="11"/>
                <c:pt idx="0">
                  <c:v>1</c:v>
                </c:pt>
                <c:pt idx="1">
                  <c:v>1.0028604118993134</c:v>
                </c:pt>
                <c:pt idx="2">
                  <c:v>1.0892448512585813</c:v>
                </c:pt>
                <c:pt idx="3">
                  <c:v>1.1767734553775744</c:v>
                </c:pt>
                <c:pt idx="4">
                  <c:v>1.2182494279176201</c:v>
                </c:pt>
                <c:pt idx="5">
                  <c:v>1.3492562929061784</c:v>
                </c:pt>
                <c:pt idx="6">
                  <c:v>1.2316933638443937</c:v>
                </c:pt>
                <c:pt idx="7">
                  <c:v>1.1973684210526316</c:v>
                </c:pt>
                <c:pt idx="8">
                  <c:v>1.5586384439359269</c:v>
                </c:pt>
                <c:pt idx="9">
                  <c:v>1.3973112128146452</c:v>
                </c:pt>
                <c:pt idx="10">
                  <c:v>1.5177345537757436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74-2C4D-A906-045B5CBCECC2}"/>
            </c:ext>
          </c:extLst>
        </c:ser>
        <c:ser>
          <c:idx val="3"/>
          <c:order val="3"/>
          <c:tx>
            <c:strRef>
              <c:f>Concise!$M$2</c:f>
              <c:strCache>
                <c:ptCount val="1"/>
                <c:pt idx="0">
                  <c:v>Alphanumeric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Concise!$I$3:$I$13</c:f>
              <c:strCache>
                <c:ptCount val="11"/>
                <c:pt idx="0">
                  <c:v>Python</c:v>
                </c:pt>
                <c:pt idx="1">
                  <c:v>Bau</c:v>
                </c:pt>
                <c:pt idx="2">
                  <c:v>Nim</c:v>
                </c:pt>
                <c:pt idx="3">
                  <c:v>Swift</c:v>
                </c:pt>
                <c:pt idx="4">
                  <c:v>Vlang</c:v>
                </c:pt>
                <c:pt idx="5">
                  <c:v>Kotlin</c:v>
                </c:pt>
                <c:pt idx="6">
                  <c:v>Go</c:v>
                </c:pt>
                <c:pt idx="7">
                  <c:v>C</c:v>
                </c:pt>
                <c:pt idx="8">
                  <c:v>Java</c:v>
                </c:pt>
                <c:pt idx="9">
                  <c:v>Rust</c:v>
                </c:pt>
                <c:pt idx="10">
                  <c:v>Zig</c:v>
                </c:pt>
              </c:strCache>
            </c:strRef>
          </c:cat>
          <c:val>
            <c:numRef>
              <c:f>Concise!$M$3:$M$13</c:f>
              <c:numCache>
                <c:formatCode>General</c:formatCode>
                <c:ptCount val="11"/>
                <c:pt idx="0">
                  <c:v>1</c:v>
                </c:pt>
                <c:pt idx="1">
                  <c:v>1.0209973753280841</c:v>
                </c:pt>
                <c:pt idx="2">
                  <c:v>1.1487314085739282</c:v>
                </c:pt>
                <c:pt idx="3">
                  <c:v>1.1846019247594051</c:v>
                </c:pt>
                <c:pt idx="4">
                  <c:v>1.0920822397200349</c:v>
                </c:pt>
                <c:pt idx="5">
                  <c:v>1.2414698162729658</c:v>
                </c:pt>
                <c:pt idx="6">
                  <c:v>1.1439195100612425</c:v>
                </c:pt>
                <c:pt idx="7">
                  <c:v>1.2486876640419948</c:v>
                </c:pt>
                <c:pt idx="8">
                  <c:v>1.3035870516185477</c:v>
                </c:pt>
                <c:pt idx="9">
                  <c:v>1.2804024496937882</c:v>
                </c:pt>
                <c:pt idx="10">
                  <c:v>1.639326334208224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74-2C4D-A906-045B5CBCECC2}"/>
            </c:ext>
          </c:extLst>
        </c:ser>
        <c:ser>
          <c:idx val="4"/>
          <c:order val="4"/>
          <c:tx>
            <c:strRef>
              <c:f>Concise!$N$2</c:f>
              <c:strCache>
                <c:ptCount val="1"/>
                <c:pt idx="0">
                  <c:v>Special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Concise!$I$3:$I$13</c:f>
              <c:strCache>
                <c:ptCount val="11"/>
                <c:pt idx="0">
                  <c:v>Python</c:v>
                </c:pt>
                <c:pt idx="1">
                  <c:v>Bau</c:v>
                </c:pt>
                <c:pt idx="2">
                  <c:v>Nim</c:v>
                </c:pt>
                <c:pt idx="3">
                  <c:v>Swift</c:v>
                </c:pt>
                <c:pt idx="4">
                  <c:v>Vlang</c:v>
                </c:pt>
                <c:pt idx="5">
                  <c:v>Kotlin</c:v>
                </c:pt>
                <c:pt idx="6">
                  <c:v>Go</c:v>
                </c:pt>
                <c:pt idx="7">
                  <c:v>C</c:v>
                </c:pt>
                <c:pt idx="8">
                  <c:v>Java</c:v>
                </c:pt>
                <c:pt idx="9">
                  <c:v>Rust</c:v>
                </c:pt>
                <c:pt idx="10">
                  <c:v>Zig</c:v>
                </c:pt>
              </c:strCache>
            </c:strRef>
          </c:cat>
          <c:val>
            <c:numRef>
              <c:f>Concise!$N$3:$N$13</c:f>
              <c:numCache>
                <c:formatCode>General</c:formatCode>
                <c:ptCount val="11"/>
                <c:pt idx="0">
                  <c:v>0.99999999999999989</c:v>
                </c:pt>
                <c:pt idx="1">
                  <c:v>0.93305439330543927</c:v>
                </c:pt>
                <c:pt idx="2">
                  <c:v>1.0150627615062762</c:v>
                </c:pt>
                <c:pt idx="3">
                  <c:v>1.1983263598326359</c:v>
                </c:pt>
                <c:pt idx="4">
                  <c:v>1.1983263598326359</c:v>
                </c:pt>
                <c:pt idx="5">
                  <c:v>1.2359832635983263</c:v>
                </c:pt>
                <c:pt idx="6">
                  <c:v>1.3615062761506276</c:v>
                </c:pt>
                <c:pt idx="7">
                  <c:v>1.5313807531380752</c:v>
                </c:pt>
                <c:pt idx="8">
                  <c:v>1.4100418410041839</c:v>
                </c:pt>
                <c:pt idx="9">
                  <c:v>1.6200836820083682</c:v>
                </c:pt>
                <c:pt idx="10">
                  <c:v>2.1037656903765689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74-2C4D-A906-045B5CBCE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9935952"/>
        <c:axId val="652995568"/>
      </c:barChart>
      <c:catAx>
        <c:axId val="172993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652995568"/>
        <c:crosses val="autoZero"/>
        <c:auto val="1"/>
        <c:lblAlgn val="ctr"/>
        <c:lblOffset val="100"/>
        <c:noMultiLvlLbl val="0"/>
      </c:catAx>
      <c:valAx>
        <c:axId val="652995568"/>
        <c:scaling>
          <c:orientation val="minMax"/>
          <c:max val="2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729935952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0" baseline="0"/>
              <a:t>Stop-the-world GC pause </a:t>
            </a:r>
            <a:br>
              <a:rPr lang="en-US" b="1" i="0" baseline="0"/>
            </a:br>
            <a:r>
              <a:rPr lang="en-US" b="1" i="0" baseline="0"/>
              <a:t>in ms (smaller is better)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Memory!$A$4</c:f>
              <c:strCache>
                <c:ptCount val="1"/>
                <c:pt idx="0">
                  <c:v>Stop-the-world GC pause in ms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Memory!$B$3:$H$3</c:f>
              <c:strCache>
                <c:ptCount val="7"/>
                <c:pt idx="0">
                  <c:v>Bau</c:v>
                </c:pt>
                <c:pt idx="1">
                  <c:v>Go</c:v>
                </c:pt>
                <c:pt idx="2">
                  <c:v>Java</c:v>
                </c:pt>
                <c:pt idx="3">
                  <c:v>PyPy</c:v>
                </c:pt>
                <c:pt idx="4">
                  <c:v>Python</c:v>
                </c:pt>
                <c:pt idx="5">
                  <c:v>Rust</c:v>
                </c:pt>
                <c:pt idx="6">
                  <c:v>Swift</c:v>
                </c:pt>
              </c:strCache>
            </c:strRef>
          </c:cat>
          <c:val>
            <c:numRef>
              <c:f>Memory!$B$4:$H$4</c:f>
              <c:numCache>
                <c:formatCode>General</c:formatCode>
                <c:ptCount val="7"/>
                <c:pt idx="0">
                  <c:v>0.04</c:v>
                </c:pt>
                <c:pt idx="1">
                  <c:v>25</c:v>
                </c:pt>
                <c:pt idx="2">
                  <c:v>14</c:v>
                </c:pt>
                <c:pt idx="3">
                  <c:v>12.9</c:v>
                </c:pt>
                <c:pt idx="4">
                  <c:v>4.5</c:v>
                </c:pt>
                <c:pt idx="5">
                  <c:v>0.06</c:v>
                </c:pt>
                <c:pt idx="6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FC-AC40-9084-8D2BD57D8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2637663"/>
        <c:axId val="922640271"/>
      </c:barChart>
      <c:catAx>
        <c:axId val="922637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640271"/>
        <c:crosses val="autoZero"/>
        <c:auto val="1"/>
        <c:lblAlgn val="ctr"/>
        <c:lblOffset val="100"/>
        <c:noMultiLvlLbl val="0"/>
      </c:catAx>
      <c:valAx>
        <c:axId val="922640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637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59947</xdr:colOff>
      <xdr:row>14</xdr:row>
      <xdr:rowOff>6846</xdr:rowOff>
    </xdr:from>
    <xdr:to>
      <xdr:col>10</xdr:col>
      <xdr:colOff>245270</xdr:colOff>
      <xdr:row>14</xdr:row>
      <xdr:rowOff>235229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2363C05-1EA8-3F22-9864-B1B506611D16}"/>
            </a:ext>
          </a:extLst>
        </xdr:cNvPr>
        <xdr:cNvSpPr/>
      </xdr:nvSpPr>
      <xdr:spPr>
        <a:xfrm rot="-600000">
          <a:off x="7225150" y="3224751"/>
          <a:ext cx="1009106" cy="22838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171621</xdr:colOff>
      <xdr:row>11</xdr:row>
      <xdr:rowOff>96109</xdr:rowOff>
    </xdr:from>
    <xdr:to>
      <xdr:col>8</xdr:col>
      <xdr:colOff>36727</xdr:colOff>
      <xdr:row>24</xdr:row>
      <xdr:rowOff>203372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7AE6F0-1772-2C89-9C1F-BBF96E2EDD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77229</xdr:colOff>
      <xdr:row>14</xdr:row>
      <xdr:rowOff>137298</xdr:rowOff>
    </xdr:from>
    <xdr:to>
      <xdr:col>10</xdr:col>
      <xdr:colOff>231690</xdr:colOff>
      <xdr:row>15</xdr:row>
      <xdr:rowOff>42905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93E87F7-3C25-B7C6-BFEA-B21E7EBF72B4}"/>
            </a:ext>
          </a:extLst>
        </xdr:cNvPr>
        <xdr:cNvCxnSpPr/>
      </xdr:nvCxnSpPr>
      <xdr:spPr>
        <a:xfrm flipV="1">
          <a:off x="7242432" y="3355203"/>
          <a:ext cx="978244" cy="17162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66588</xdr:colOff>
      <xdr:row>14</xdr:row>
      <xdr:rowOff>15104</xdr:rowOff>
    </xdr:from>
    <xdr:to>
      <xdr:col>10</xdr:col>
      <xdr:colOff>221049</xdr:colOff>
      <xdr:row>14</xdr:row>
      <xdr:rowOff>186725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DEADEB50-6E13-F24E-A0F1-D9A5287EFA17}"/>
            </a:ext>
          </a:extLst>
        </xdr:cNvPr>
        <xdr:cNvCxnSpPr/>
      </xdr:nvCxnSpPr>
      <xdr:spPr>
        <a:xfrm flipV="1">
          <a:off x="7231791" y="3233009"/>
          <a:ext cx="978244" cy="17162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754317</xdr:colOff>
      <xdr:row>14</xdr:row>
      <xdr:rowOff>54133</xdr:rowOff>
    </xdr:from>
    <xdr:to>
      <xdr:col>5</xdr:col>
      <xdr:colOff>373317</xdr:colOff>
      <xdr:row>27</xdr:row>
      <xdr:rowOff>155733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E6730BD-2D23-F18E-35DD-924953FB36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575360</xdr:colOff>
      <xdr:row>14</xdr:row>
      <xdr:rowOff>98234</xdr:rowOff>
    </xdr:from>
    <xdr:to>
      <xdr:col>10</xdr:col>
      <xdr:colOff>126298</xdr:colOff>
      <xdr:row>28</xdr:row>
      <xdr:rowOff>193484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E30F8AB-AD18-C075-C4E3-EF410C6787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412750</xdr:colOff>
      <xdr:row>7</xdr:row>
      <xdr:rowOff>190500</xdr:rowOff>
    </xdr:from>
    <xdr:to>
      <xdr:col>12</xdr:col>
      <xdr:colOff>787400</xdr:colOff>
      <xdr:row>19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A041E7-4264-E85A-D1D1-11BBA8FE36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266A2-5A9C-AA42-B61E-0693631C31C7}">
  <dimension ref="B4:O24"/>
  <sheetViews>
    <sheetView tabSelected="1" zoomScale="158" zoomScaleNormal="158" workbookViewId="0">
      <selection activeCell="N10" sqref="N10"/>
    </sheetView>
  </sheetViews>
  <sheetFormatPr baseColWidth="10" defaultRowHeight="16" x14ac:dyDescent="0.2"/>
  <cols>
    <col min="2" max="2" width="25.83203125" bestFit="1" customWidth="1"/>
    <col min="3" max="5" width="7.5" bestFit="1" customWidth="1"/>
    <col min="6" max="6" width="7.1640625" bestFit="1" customWidth="1"/>
    <col min="7" max="7" width="9.83203125" bestFit="1" customWidth="1"/>
    <col min="8" max="8" width="7" bestFit="1" customWidth="1"/>
  </cols>
  <sheetData>
    <row r="4" spans="2:15" ht="21" x14ac:dyDescent="0.25">
      <c r="B4" s="6" t="s">
        <v>0</v>
      </c>
      <c r="C4" s="6" t="s">
        <v>1</v>
      </c>
      <c r="D4" s="6" t="s">
        <v>2</v>
      </c>
      <c r="E4" s="6" t="s">
        <v>3</v>
      </c>
      <c r="F4" s="6" t="s">
        <v>4</v>
      </c>
      <c r="G4" s="6" t="s">
        <v>23</v>
      </c>
      <c r="H4" s="6" t="s">
        <v>10</v>
      </c>
      <c r="I4" s="6" t="s">
        <v>5</v>
      </c>
      <c r="J4" s="6" t="s">
        <v>20</v>
      </c>
      <c r="K4" s="6" t="s">
        <v>24</v>
      </c>
      <c r="L4" s="6" t="s">
        <v>25</v>
      </c>
      <c r="N4" s="1" t="s">
        <v>11</v>
      </c>
    </row>
    <row r="5" spans="2:15" ht="21" x14ac:dyDescent="0.25">
      <c r="B5" s="1" t="s">
        <v>6</v>
      </c>
      <c r="C5" s="1">
        <v>3.4</v>
      </c>
      <c r="D5" s="1">
        <v>3.3</v>
      </c>
      <c r="E5" s="1">
        <v>6.7</v>
      </c>
      <c r="F5" s="1">
        <v>2</v>
      </c>
      <c r="G5" s="1">
        <v>4</v>
      </c>
      <c r="H5" s="1">
        <v>5.5</v>
      </c>
      <c r="I5" s="1">
        <v>4.0999999999999996</v>
      </c>
      <c r="J5" s="1">
        <v>10.8</v>
      </c>
      <c r="K5" s="1">
        <v>4.5</v>
      </c>
      <c r="L5" s="1">
        <v>4.5</v>
      </c>
      <c r="N5" s="1">
        <v>67</v>
      </c>
      <c r="O5">
        <f t="shared" ref="O5:O11" si="0">N5/H5</f>
        <v>12.181818181818182</v>
      </c>
    </row>
    <row r="6" spans="2:15" ht="21" x14ac:dyDescent="0.25">
      <c r="B6" s="1" t="s">
        <v>18</v>
      </c>
      <c r="C6" s="1">
        <v>1.5</v>
      </c>
      <c r="D6" s="1">
        <v>1.5</v>
      </c>
      <c r="E6" s="1">
        <v>1.5</v>
      </c>
      <c r="F6" s="1">
        <v>1.8</v>
      </c>
      <c r="G6" s="1">
        <v>1.5</v>
      </c>
      <c r="H6" s="1">
        <v>3.7</v>
      </c>
      <c r="I6" s="1">
        <v>1.4</v>
      </c>
      <c r="J6" s="1">
        <v>1.7</v>
      </c>
      <c r="K6" s="1">
        <v>1.5</v>
      </c>
      <c r="L6" s="1">
        <v>1.6</v>
      </c>
      <c r="N6" s="1">
        <v>51</v>
      </c>
      <c r="O6">
        <f t="shared" si="0"/>
        <v>13.783783783783782</v>
      </c>
    </row>
    <row r="7" spans="2:15" ht="21" x14ac:dyDescent="0.25">
      <c r="B7" s="1" t="s">
        <v>7</v>
      </c>
      <c r="C7" s="1">
        <v>1.3</v>
      </c>
      <c r="D7" s="1">
        <v>1.2</v>
      </c>
      <c r="E7" s="1">
        <v>1.9</v>
      </c>
      <c r="F7" s="1">
        <v>2.7</v>
      </c>
      <c r="G7" s="1">
        <v>1.6</v>
      </c>
      <c r="H7" s="1">
        <v>10.199999999999999</v>
      </c>
      <c r="I7" s="1">
        <v>1.2</v>
      </c>
      <c r="J7" s="1">
        <v>1.4</v>
      </c>
      <c r="K7" s="1">
        <v>1.3</v>
      </c>
      <c r="L7" s="1">
        <v>1.2</v>
      </c>
      <c r="N7" s="1">
        <v>143</v>
      </c>
      <c r="O7">
        <f t="shared" si="0"/>
        <v>14.019607843137257</v>
      </c>
    </row>
    <row r="8" spans="2:15" ht="21" x14ac:dyDescent="0.25">
      <c r="B8" s="1" t="s">
        <v>8</v>
      </c>
      <c r="C8" s="1">
        <v>1.3</v>
      </c>
      <c r="D8" s="1">
        <v>0.4</v>
      </c>
      <c r="E8" s="1">
        <v>0.6</v>
      </c>
      <c r="F8" s="1">
        <v>1.9</v>
      </c>
      <c r="G8" s="1">
        <v>24</v>
      </c>
      <c r="H8" s="1">
        <v>1.4</v>
      </c>
      <c r="I8" s="1">
        <v>1</v>
      </c>
      <c r="J8" s="1">
        <v>5</v>
      </c>
      <c r="K8" s="1">
        <v>3.2</v>
      </c>
      <c r="L8" s="1">
        <v>3.1</v>
      </c>
      <c r="N8" s="1">
        <v>2.8</v>
      </c>
      <c r="O8">
        <f t="shared" si="0"/>
        <v>2</v>
      </c>
    </row>
    <row r="9" spans="2:15" ht="21" x14ac:dyDescent="0.25">
      <c r="B9" s="1" t="s">
        <v>9</v>
      </c>
      <c r="C9" s="1">
        <v>1.8</v>
      </c>
      <c r="D9" s="1">
        <v>1.8</v>
      </c>
      <c r="E9" s="1">
        <v>1.8</v>
      </c>
      <c r="F9" s="1">
        <v>2.1</v>
      </c>
      <c r="G9" s="1">
        <v>1.9</v>
      </c>
      <c r="H9" s="1">
        <v>9.8000000000000007</v>
      </c>
      <c r="I9" s="1">
        <v>2</v>
      </c>
      <c r="J9" s="1">
        <v>9.8000000000000007</v>
      </c>
      <c r="K9" s="1">
        <v>1.8</v>
      </c>
      <c r="L9" s="1">
        <v>9.4</v>
      </c>
      <c r="N9" s="1">
        <v>129</v>
      </c>
      <c r="O9">
        <f t="shared" si="0"/>
        <v>13.163265306122447</v>
      </c>
    </row>
    <row r="10" spans="2:15" ht="21" x14ac:dyDescent="0.25">
      <c r="B10" s="1" t="s">
        <v>27</v>
      </c>
      <c r="C10" s="1">
        <v>1.5</v>
      </c>
      <c r="D10" s="1">
        <v>1.4</v>
      </c>
      <c r="E10" s="1">
        <v>1.5</v>
      </c>
      <c r="F10" s="1">
        <v>1.9</v>
      </c>
      <c r="G10" s="1">
        <v>1.6</v>
      </c>
      <c r="H10" s="1">
        <v>10.4</v>
      </c>
      <c r="I10" s="1">
        <v>1.7</v>
      </c>
      <c r="J10" s="1">
        <v>1.7</v>
      </c>
      <c r="K10" s="1">
        <v>1.6</v>
      </c>
      <c r="L10" s="1">
        <v>1.5</v>
      </c>
      <c r="N10" s="1">
        <v>167</v>
      </c>
      <c r="O10">
        <f t="shared" si="0"/>
        <v>16.057692307692307</v>
      </c>
    </row>
    <row r="11" spans="2:15" ht="21" x14ac:dyDescent="0.25">
      <c r="B11" s="1"/>
      <c r="C11" s="1">
        <f t="shared" ref="C11:L11" si="1">SUM(C5:C10)</f>
        <v>10.8</v>
      </c>
      <c r="D11" s="1">
        <f t="shared" si="1"/>
        <v>9.6000000000000014</v>
      </c>
      <c r="E11" s="1">
        <f t="shared" si="1"/>
        <v>14</v>
      </c>
      <c r="F11" s="1">
        <f t="shared" si="1"/>
        <v>12.4</v>
      </c>
      <c r="G11" s="1">
        <f t="shared" si="1"/>
        <v>34.6</v>
      </c>
      <c r="H11" s="1">
        <f t="shared" si="1"/>
        <v>41</v>
      </c>
      <c r="I11" s="1">
        <f t="shared" si="1"/>
        <v>11.399999999999999</v>
      </c>
      <c r="J11" s="1">
        <f t="shared" si="1"/>
        <v>30.4</v>
      </c>
      <c r="K11" s="1">
        <f t="shared" si="1"/>
        <v>13.9</v>
      </c>
      <c r="L11" s="1">
        <f t="shared" si="1"/>
        <v>21.3</v>
      </c>
      <c r="N11" s="1">
        <f>SUM(N5:N10)</f>
        <v>559.79999999999995</v>
      </c>
      <c r="O11">
        <f t="shared" si="0"/>
        <v>13.653658536585365</v>
      </c>
    </row>
    <row r="13" spans="2:15" ht="21" x14ac:dyDescent="0.25">
      <c r="B13" s="1"/>
      <c r="C13" s="2"/>
      <c r="D13" s="2"/>
      <c r="E13" s="2"/>
      <c r="F13" s="2"/>
      <c r="G13" s="2"/>
      <c r="H13" s="2"/>
    </row>
    <row r="14" spans="2:15" ht="21" x14ac:dyDescent="0.25">
      <c r="B14" s="1"/>
      <c r="C14" s="1"/>
      <c r="D14" s="1"/>
      <c r="E14" s="1"/>
      <c r="F14" s="1"/>
      <c r="G14" s="1"/>
      <c r="H14" s="1"/>
    </row>
    <row r="15" spans="2:15" ht="21" x14ac:dyDescent="0.25">
      <c r="B15" s="1"/>
      <c r="C15" s="1"/>
      <c r="D15" s="1"/>
      <c r="E15" s="1"/>
      <c r="F15" s="1"/>
      <c r="G15" s="1"/>
      <c r="H15" s="1"/>
    </row>
    <row r="16" spans="2:15" ht="21" x14ac:dyDescent="0.25">
      <c r="B16" s="1"/>
      <c r="C16" s="1"/>
      <c r="D16" s="1"/>
      <c r="E16" s="1"/>
      <c r="F16" s="1"/>
      <c r="G16" s="1"/>
      <c r="H16" s="1"/>
    </row>
    <row r="17" spans="2:14" ht="21" x14ac:dyDescent="0.25">
      <c r="B17" s="1"/>
      <c r="C17" s="1"/>
      <c r="D17" s="1"/>
      <c r="E17" s="1"/>
      <c r="F17" s="1"/>
      <c r="G17" s="1"/>
      <c r="H17" s="1"/>
    </row>
    <row r="18" spans="2:14" ht="21" x14ac:dyDescent="0.25">
      <c r="B18" s="1"/>
      <c r="C18" s="1"/>
      <c r="D18" s="1"/>
      <c r="E18" s="1"/>
      <c r="F18" s="1"/>
      <c r="G18" s="1"/>
      <c r="H18" s="1"/>
      <c r="K18" s="5">
        <v>0.42202546296296295</v>
      </c>
    </row>
    <row r="19" spans="2:14" x14ac:dyDescent="0.2">
      <c r="K19" s="5">
        <v>0.4258912037037037</v>
      </c>
      <c r="L19" s="5">
        <f>K19-K18</f>
        <v>3.8657407407407529E-3</v>
      </c>
      <c r="M19">
        <v>40</v>
      </c>
    </row>
    <row r="20" spans="2:14" x14ac:dyDescent="0.2">
      <c r="M20">
        <f>60*5+30</f>
        <v>330</v>
      </c>
      <c r="N20">
        <f>M20/40</f>
        <v>8.25</v>
      </c>
    </row>
    <row r="21" spans="2:14" x14ac:dyDescent="0.2">
      <c r="N21" t="s">
        <v>21</v>
      </c>
    </row>
    <row r="22" spans="2:14" x14ac:dyDescent="0.2">
      <c r="N22">
        <f>8.25 * 2000</f>
        <v>16500</v>
      </c>
    </row>
    <row r="23" spans="2:14" x14ac:dyDescent="0.2">
      <c r="N23">
        <f>N22/60</f>
        <v>275</v>
      </c>
    </row>
    <row r="24" spans="2:14" x14ac:dyDescent="0.2">
      <c r="N24">
        <f>N23/60</f>
        <v>4.583333333333333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A3CD0-A1E2-3843-9734-943657D6AF5A}">
  <dimension ref="B2:U74"/>
  <sheetViews>
    <sheetView zoomScale="151" zoomScaleNormal="151" workbookViewId="0">
      <selection activeCell="B3" sqref="B3:B13"/>
    </sheetView>
  </sheetViews>
  <sheetFormatPr baseColWidth="10" defaultRowHeight="16" x14ac:dyDescent="0.2"/>
  <cols>
    <col min="16" max="21" width="6.5" customWidth="1"/>
  </cols>
  <sheetData>
    <row r="2" spans="2:21" x14ac:dyDescent="0.2">
      <c r="B2" s="4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22</v>
      </c>
      <c r="I2" s="4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</row>
    <row r="3" spans="2:21" x14ac:dyDescent="0.2">
      <c r="B3" s="4" t="s">
        <v>11</v>
      </c>
      <c r="C3">
        <v>354</v>
      </c>
      <c r="D3">
        <v>9349</v>
      </c>
      <c r="E3">
        <v>3496</v>
      </c>
      <c r="F3">
        <v>4572</v>
      </c>
      <c r="G3">
        <v>1195</v>
      </c>
      <c r="H3">
        <v>87</v>
      </c>
      <c r="I3" s="4" t="str">
        <f>B3</f>
        <v>Python</v>
      </c>
      <c r="J3">
        <f>1/C$3*C3</f>
        <v>1</v>
      </c>
      <c r="K3">
        <f t="shared" ref="K3" si="0">1/D$3*D3</f>
        <v>1</v>
      </c>
      <c r="L3">
        <f t="shared" ref="L3" si="1">1/E$3*E3</f>
        <v>1</v>
      </c>
      <c r="M3">
        <f t="shared" ref="M3" si="2">1/F$3*F3</f>
        <v>1</v>
      </c>
      <c r="N3">
        <f t="shared" ref="N3" si="3">1/G$3*G3</f>
        <v>0.99999999999999989</v>
      </c>
    </row>
    <row r="4" spans="2:21" x14ac:dyDescent="0.2">
      <c r="B4" s="4" t="s">
        <v>1</v>
      </c>
      <c r="C4">
        <v>354</v>
      </c>
      <c r="D4">
        <v>9324</v>
      </c>
      <c r="E4">
        <v>3506</v>
      </c>
      <c r="F4">
        <v>4668</v>
      </c>
      <c r="G4">
        <v>1115</v>
      </c>
      <c r="H4">
        <v>35</v>
      </c>
      <c r="I4" s="4" t="str">
        <f t="shared" ref="I4:I12" si="4">B4</f>
        <v>Bau</v>
      </c>
      <c r="J4">
        <f t="shared" ref="J4:J12" si="5">1/C$3*C4</f>
        <v>1</v>
      </c>
      <c r="K4">
        <f t="shared" ref="K4:K12" si="6">1/D$3*D4</f>
        <v>0.99732591721039687</v>
      </c>
      <c r="L4">
        <f t="shared" ref="L4:L12" si="7">1/E$3*E4</f>
        <v>1.0028604118993134</v>
      </c>
      <c r="M4">
        <f t="shared" ref="M4:M12" si="8">1/F$3*F4</f>
        <v>1.0209973753280841</v>
      </c>
      <c r="N4">
        <f t="shared" ref="N4:N12" si="9">1/G$3*G4</f>
        <v>0.93305439330543927</v>
      </c>
      <c r="P4">
        <f>J4-J$3</f>
        <v>0</v>
      </c>
      <c r="Q4">
        <f t="shared" ref="Q4:Q12" si="10">K4-K$3</f>
        <v>-2.6740827896031272E-3</v>
      </c>
      <c r="R4">
        <f t="shared" ref="R4:R12" si="11">L4-L$3</f>
        <v>2.8604118993134087E-3</v>
      </c>
      <c r="S4">
        <f t="shared" ref="S4:S12" si="12">M4-M$3</f>
        <v>2.09973753280841E-2</v>
      </c>
      <c r="T4">
        <f t="shared" ref="T4:T12" si="13">N4-N$3</f>
        <v>-6.6945606694560622E-2</v>
      </c>
      <c r="U4">
        <f>SUM(P4:T4)</f>
        <v>-4.576190225676624E-2</v>
      </c>
    </row>
    <row r="5" spans="2:21" x14ac:dyDescent="0.2">
      <c r="B5" s="4" t="s">
        <v>23</v>
      </c>
      <c r="C5">
        <v>381</v>
      </c>
      <c r="D5">
        <v>10311</v>
      </c>
      <c r="E5">
        <v>3808</v>
      </c>
      <c r="F5">
        <v>5252</v>
      </c>
      <c r="G5">
        <v>1213</v>
      </c>
      <c r="H5">
        <v>39</v>
      </c>
      <c r="I5" s="4" t="str">
        <f t="shared" si="4"/>
        <v>Nim</v>
      </c>
      <c r="J5">
        <f t="shared" si="5"/>
        <v>1.076271186440678</v>
      </c>
      <c r="K5">
        <f t="shared" si="6"/>
        <v>1.1028987057439299</v>
      </c>
      <c r="L5">
        <f t="shared" si="7"/>
        <v>1.0892448512585813</v>
      </c>
      <c r="M5">
        <f t="shared" si="8"/>
        <v>1.1487314085739282</v>
      </c>
      <c r="N5">
        <f t="shared" si="9"/>
        <v>1.0150627615062762</v>
      </c>
      <c r="P5">
        <f t="shared" ref="P5:P12" si="14">J5-J$3</f>
        <v>7.6271186440677985E-2</v>
      </c>
      <c r="Q5">
        <f t="shared" si="10"/>
        <v>0.1028987057439299</v>
      </c>
      <c r="R5">
        <f t="shared" si="11"/>
        <v>8.9244851258581281E-2</v>
      </c>
      <c r="S5">
        <f t="shared" si="12"/>
        <v>0.14873140857392819</v>
      </c>
      <c r="T5">
        <f t="shared" si="13"/>
        <v>1.5062761506276279E-2</v>
      </c>
      <c r="U5">
        <f t="shared" ref="U5:U12" si="15">SUM(P5:T5)</f>
        <v>0.43220891352339363</v>
      </c>
    </row>
    <row r="6" spans="2:21" x14ac:dyDescent="0.2">
      <c r="B6" s="4" t="s">
        <v>20</v>
      </c>
      <c r="C6">
        <v>433</v>
      </c>
      <c r="D6">
        <v>10997</v>
      </c>
      <c r="E6">
        <v>4114</v>
      </c>
      <c r="F6">
        <v>5416</v>
      </c>
      <c r="G6">
        <v>1432</v>
      </c>
      <c r="H6">
        <v>35</v>
      </c>
      <c r="I6" s="4" t="str">
        <f t="shared" si="4"/>
        <v>Swift</v>
      </c>
      <c r="J6">
        <f t="shared" si="5"/>
        <v>1.2231638418079096</v>
      </c>
      <c r="K6">
        <f t="shared" si="6"/>
        <v>1.1762755374906408</v>
      </c>
      <c r="L6">
        <f t="shared" si="7"/>
        <v>1.1767734553775744</v>
      </c>
      <c r="M6">
        <f t="shared" si="8"/>
        <v>1.1846019247594051</v>
      </c>
      <c r="N6">
        <f t="shared" si="9"/>
        <v>1.1983263598326359</v>
      </c>
      <c r="P6">
        <f t="shared" si="14"/>
        <v>0.2231638418079096</v>
      </c>
      <c r="Q6">
        <f t="shared" si="10"/>
        <v>0.17627553749064084</v>
      </c>
      <c r="R6">
        <f t="shared" si="11"/>
        <v>0.17677345537757438</v>
      </c>
      <c r="S6">
        <f t="shared" si="12"/>
        <v>0.18460192475940507</v>
      </c>
      <c r="T6">
        <f t="shared" si="13"/>
        <v>0.19832635983263602</v>
      </c>
      <c r="U6">
        <f t="shared" si="15"/>
        <v>0.95914111926816592</v>
      </c>
    </row>
    <row r="7" spans="2:21" x14ac:dyDescent="0.2">
      <c r="B7" s="4" t="s">
        <v>24</v>
      </c>
      <c r="C7">
        <v>456</v>
      </c>
      <c r="D7">
        <v>10800</v>
      </c>
      <c r="E7">
        <v>4259</v>
      </c>
      <c r="F7">
        <v>4993</v>
      </c>
      <c r="G7">
        <v>1432</v>
      </c>
      <c r="H7">
        <v>118</v>
      </c>
      <c r="I7" s="4" t="str">
        <f t="shared" si="4"/>
        <v>Vlang</v>
      </c>
      <c r="J7">
        <f t="shared" si="5"/>
        <v>1.2881355932203389</v>
      </c>
      <c r="K7">
        <f t="shared" si="6"/>
        <v>1.1552037651085678</v>
      </c>
      <c r="L7">
        <f t="shared" si="7"/>
        <v>1.2182494279176201</v>
      </c>
      <c r="M7">
        <f t="shared" si="8"/>
        <v>1.0920822397200349</v>
      </c>
      <c r="N7">
        <f t="shared" si="9"/>
        <v>1.1983263598326359</v>
      </c>
      <c r="P7">
        <f t="shared" si="14"/>
        <v>0.28813559322033888</v>
      </c>
      <c r="Q7">
        <f t="shared" si="10"/>
        <v>0.15520376510856781</v>
      </c>
      <c r="R7">
        <f t="shared" si="11"/>
        <v>0.21824942791762014</v>
      </c>
      <c r="S7">
        <f t="shared" si="12"/>
        <v>9.2082239720034931E-2</v>
      </c>
      <c r="T7">
        <f t="shared" si="13"/>
        <v>0.19832635983263602</v>
      </c>
      <c r="U7">
        <f t="shared" si="15"/>
        <v>0.95199738579919779</v>
      </c>
    </row>
    <row r="8" spans="2:21" x14ac:dyDescent="0.2">
      <c r="B8" s="4" t="s">
        <v>19</v>
      </c>
      <c r="C8">
        <v>436</v>
      </c>
      <c r="D8">
        <v>11901</v>
      </c>
      <c r="E8">
        <v>4717</v>
      </c>
      <c r="F8">
        <v>5676</v>
      </c>
      <c r="G8">
        <v>1477</v>
      </c>
      <c r="H8">
        <v>35</v>
      </c>
      <c r="I8" s="4" t="str">
        <f t="shared" si="4"/>
        <v>Kotlin</v>
      </c>
      <c r="J8">
        <f t="shared" si="5"/>
        <v>1.231638418079096</v>
      </c>
      <c r="K8">
        <f t="shared" si="6"/>
        <v>1.2729703711626912</v>
      </c>
      <c r="L8">
        <f t="shared" si="7"/>
        <v>1.3492562929061784</v>
      </c>
      <c r="M8">
        <f t="shared" si="8"/>
        <v>1.2414698162729658</v>
      </c>
      <c r="N8">
        <f t="shared" si="9"/>
        <v>1.2359832635983263</v>
      </c>
      <c r="P8">
        <f t="shared" si="14"/>
        <v>0.23163841807909602</v>
      </c>
      <c r="Q8">
        <f t="shared" si="10"/>
        <v>0.27297037116269118</v>
      </c>
      <c r="R8">
        <f t="shared" si="11"/>
        <v>0.34925629290617843</v>
      </c>
      <c r="S8">
        <f t="shared" si="12"/>
        <v>0.24146981627296582</v>
      </c>
      <c r="T8">
        <f t="shared" si="13"/>
        <v>0.23598326359832644</v>
      </c>
      <c r="U8">
        <f t="shared" si="15"/>
        <v>1.331318162019258</v>
      </c>
    </row>
    <row r="9" spans="2:21" x14ac:dyDescent="0.2">
      <c r="B9" s="4" t="s">
        <v>3</v>
      </c>
      <c r="C9">
        <v>483</v>
      </c>
      <c r="D9" s="3">
        <v>11208</v>
      </c>
      <c r="E9">
        <v>4306</v>
      </c>
      <c r="F9">
        <v>5230</v>
      </c>
      <c r="G9">
        <v>1627</v>
      </c>
      <c r="H9">
        <v>44</v>
      </c>
      <c r="I9" s="4" t="str">
        <f t="shared" si="4"/>
        <v>Go</v>
      </c>
      <c r="J9">
        <f t="shared" si="5"/>
        <v>1.3644067796610169</v>
      </c>
      <c r="K9">
        <f t="shared" si="6"/>
        <v>1.1988447962348916</v>
      </c>
      <c r="L9">
        <f t="shared" si="7"/>
        <v>1.2316933638443937</v>
      </c>
      <c r="M9">
        <f t="shared" si="8"/>
        <v>1.1439195100612425</v>
      </c>
      <c r="N9">
        <f t="shared" si="9"/>
        <v>1.3615062761506276</v>
      </c>
      <c r="P9">
        <f t="shared" si="14"/>
        <v>0.36440677966101687</v>
      </c>
      <c r="Q9">
        <f t="shared" si="10"/>
        <v>0.1988447962348916</v>
      </c>
      <c r="R9">
        <f t="shared" si="11"/>
        <v>0.23169336384439365</v>
      </c>
      <c r="S9">
        <f t="shared" si="12"/>
        <v>0.14391951006124248</v>
      </c>
      <c r="T9">
        <f t="shared" si="13"/>
        <v>0.36150627615062769</v>
      </c>
      <c r="U9">
        <f t="shared" si="15"/>
        <v>1.3003707259521722</v>
      </c>
    </row>
    <row r="10" spans="2:21" x14ac:dyDescent="0.2">
      <c r="B10" s="4" t="s">
        <v>2</v>
      </c>
      <c r="C10">
        <v>455</v>
      </c>
      <c r="D10" s="3">
        <v>11821</v>
      </c>
      <c r="E10">
        <v>4186</v>
      </c>
      <c r="F10">
        <v>5709</v>
      </c>
      <c r="G10">
        <v>1830</v>
      </c>
      <c r="H10">
        <v>95</v>
      </c>
      <c r="I10" s="4" t="str">
        <f t="shared" si="4"/>
        <v>C</v>
      </c>
      <c r="J10">
        <f t="shared" si="5"/>
        <v>1.2853107344632768</v>
      </c>
      <c r="K10">
        <f t="shared" si="6"/>
        <v>1.264413306235961</v>
      </c>
      <c r="L10">
        <f t="shared" si="7"/>
        <v>1.1973684210526316</v>
      </c>
      <c r="M10">
        <f t="shared" si="8"/>
        <v>1.2486876640419948</v>
      </c>
      <c r="N10">
        <f t="shared" si="9"/>
        <v>1.5313807531380752</v>
      </c>
      <c r="P10">
        <f t="shared" si="14"/>
        <v>0.28531073446327682</v>
      </c>
      <c r="Q10">
        <f t="shared" si="10"/>
        <v>0.26441330623596104</v>
      </c>
      <c r="R10">
        <f t="shared" si="11"/>
        <v>0.19736842105263164</v>
      </c>
      <c r="S10">
        <f t="shared" si="12"/>
        <v>0.24868766404199483</v>
      </c>
      <c r="T10">
        <f t="shared" si="13"/>
        <v>0.53138075313807531</v>
      </c>
      <c r="U10">
        <f t="shared" si="15"/>
        <v>1.5271608789319395</v>
      </c>
    </row>
    <row r="11" spans="2:21" x14ac:dyDescent="0.2">
      <c r="B11" s="4" t="s">
        <v>4</v>
      </c>
      <c r="C11">
        <v>430</v>
      </c>
      <c r="D11" s="3">
        <v>13126</v>
      </c>
      <c r="E11">
        <v>5449</v>
      </c>
      <c r="F11">
        <v>5960</v>
      </c>
      <c r="G11">
        <v>1685</v>
      </c>
      <c r="H11">
        <v>35</v>
      </c>
      <c r="I11" s="4" t="str">
        <f t="shared" si="4"/>
        <v>Java</v>
      </c>
      <c r="J11">
        <f t="shared" si="5"/>
        <v>1.2146892655367232</v>
      </c>
      <c r="K11">
        <f t="shared" si="6"/>
        <v>1.4040004278532463</v>
      </c>
      <c r="L11">
        <f t="shared" si="7"/>
        <v>1.5586384439359269</v>
      </c>
      <c r="M11">
        <f t="shared" si="8"/>
        <v>1.3035870516185477</v>
      </c>
      <c r="N11">
        <f t="shared" si="9"/>
        <v>1.4100418410041839</v>
      </c>
      <c r="P11">
        <f t="shared" si="14"/>
        <v>0.21468926553672318</v>
      </c>
      <c r="Q11">
        <f t="shared" si="10"/>
        <v>0.4040004278532463</v>
      </c>
      <c r="R11">
        <f t="shared" si="11"/>
        <v>0.55863844393592688</v>
      </c>
      <c r="S11">
        <f t="shared" si="12"/>
        <v>0.30358705161854771</v>
      </c>
      <c r="T11">
        <f t="shared" si="13"/>
        <v>0.41004184100418406</v>
      </c>
      <c r="U11">
        <f t="shared" si="15"/>
        <v>1.8909570299486282</v>
      </c>
    </row>
    <row r="12" spans="2:21" x14ac:dyDescent="0.2">
      <c r="B12" s="4" t="s">
        <v>5</v>
      </c>
      <c r="C12">
        <v>491</v>
      </c>
      <c r="D12" s="3">
        <v>12778</v>
      </c>
      <c r="E12">
        <v>4885</v>
      </c>
      <c r="F12">
        <v>5854</v>
      </c>
      <c r="G12">
        <v>1936</v>
      </c>
      <c r="H12">
        <v>103</v>
      </c>
      <c r="I12" s="4" t="str">
        <f t="shared" si="4"/>
        <v>Rust</v>
      </c>
      <c r="J12">
        <f t="shared" si="5"/>
        <v>1.3870056497175141</v>
      </c>
      <c r="K12">
        <f t="shared" si="6"/>
        <v>1.3667771954219703</v>
      </c>
      <c r="L12">
        <f t="shared" si="7"/>
        <v>1.3973112128146452</v>
      </c>
      <c r="M12">
        <f t="shared" si="8"/>
        <v>1.2804024496937882</v>
      </c>
      <c r="N12">
        <f t="shared" si="9"/>
        <v>1.6200836820083682</v>
      </c>
      <c r="P12">
        <f t="shared" si="14"/>
        <v>0.38700564971751406</v>
      </c>
      <c r="Q12">
        <f t="shared" si="10"/>
        <v>0.36677719542197029</v>
      </c>
      <c r="R12">
        <f t="shared" si="11"/>
        <v>0.39731121281464521</v>
      </c>
      <c r="S12">
        <f t="shared" si="12"/>
        <v>0.28040244969378825</v>
      </c>
      <c r="T12">
        <f t="shared" si="13"/>
        <v>0.62008368200836828</v>
      </c>
      <c r="U12">
        <f t="shared" si="15"/>
        <v>2.0515801896562862</v>
      </c>
    </row>
    <row r="13" spans="2:21" x14ac:dyDescent="0.2">
      <c r="B13" s="4" t="s">
        <v>25</v>
      </c>
      <c r="C13">
        <v>538</v>
      </c>
      <c r="D13" s="3">
        <v>15363</v>
      </c>
      <c r="E13">
        <v>5306</v>
      </c>
      <c r="F13">
        <v>7495</v>
      </c>
      <c r="G13">
        <v>2514</v>
      </c>
      <c r="H13">
        <v>48</v>
      </c>
      <c r="I13" s="4" t="str">
        <f t="shared" ref="I13" si="16">B13</f>
        <v>Zig</v>
      </c>
      <c r="J13">
        <f t="shared" ref="J13" si="17">1/C$3*C13</f>
        <v>1.5197740112994351</v>
      </c>
      <c r="K13">
        <f t="shared" ref="K13" si="18">1/D$3*D13</f>
        <v>1.6432773558669378</v>
      </c>
      <c r="L13">
        <f t="shared" ref="L13" si="19">1/E$3*E13</f>
        <v>1.5177345537757436</v>
      </c>
      <c r="M13">
        <f t="shared" ref="M13" si="20">1/F$3*F13</f>
        <v>1.639326334208224</v>
      </c>
      <c r="N13">
        <f t="shared" ref="N13" si="21">1/G$3*G13</f>
        <v>2.1037656903765689</v>
      </c>
    </row>
    <row r="14" spans="2:21" x14ac:dyDescent="0.2">
      <c r="D14" s="3"/>
    </row>
    <row r="15" spans="2:21" x14ac:dyDescent="0.2">
      <c r="D15" s="3"/>
    </row>
    <row r="16" spans="2:21" x14ac:dyDescent="0.2">
      <c r="D16" s="3"/>
    </row>
    <row r="17" spans="4:4" x14ac:dyDescent="0.2">
      <c r="D17" s="3"/>
    </row>
    <row r="18" spans="4:4" x14ac:dyDescent="0.2">
      <c r="D18" s="3"/>
    </row>
    <row r="19" spans="4:4" x14ac:dyDescent="0.2">
      <c r="D19" s="3"/>
    </row>
    <row r="20" spans="4:4" x14ac:dyDescent="0.2">
      <c r="D20" s="3"/>
    </row>
    <row r="21" spans="4:4" x14ac:dyDescent="0.2">
      <c r="D21" s="3"/>
    </row>
    <row r="22" spans="4:4" x14ac:dyDescent="0.2">
      <c r="D22" s="3"/>
    </row>
    <row r="23" spans="4:4" x14ac:dyDescent="0.2">
      <c r="D23" s="3"/>
    </row>
    <row r="24" spans="4:4" x14ac:dyDescent="0.2">
      <c r="D24" s="3"/>
    </row>
    <row r="25" spans="4:4" x14ac:dyDescent="0.2">
      <c r="D25" s="3"/>
    </row>
    <row r="26" spans="4:4" x14ac:dyDescent="0.2">
      <c r="D26" s="3"/>
    </row>
    <row r="27" spans="4:4" x14ac:dyDescent="0.2">
      <c r="D27" s="3"/>
    </row>
    <row r="28" spans="4:4" x14ac:dyDescent="0.2">
      <c r="D28" s="3"/>
    </row>
    <row r="29" spans="4:4" x14ac:dyDescent="0.2">
      <c r="D29" s="3"/>
    </row>
    <row r="30" spans="4:4" x14ac:dyDescent="0.2">
      <c r="D30" s="3"/>
    </row>
    <row r="31" spans="4:4" x14ac:dyDescent="0.2">
      <c r="D31" s="3"/>
    </row>
    <row r="32" spans="4:4" x14ac:dyDescent="0.2">
      <c r="D32" s="3"/>
    </row>
    <row r="33" spans="4:11" x14ac:dyDescent="0.2">
      <c r="D33" s="3"/>
    </row>
    <row r="34" spans="4:11" x14ac:dyDescent="0.2">
      <c r="D34" s="3"/>
    </row>
    <row r="35" spans="4:11" x14ac:dyDescent="0.2">
      <c r="D35" s="3"/>
    </row>
    <row r="36" spans="4:11" x14ac:dyDescent="0.2">
      <c r="D36" s="3"/>
    </row>
    <row r="37" spans="4:11" x14ac:dyDescent="0.2">
      <c r="D37" s="3"/>
    </row>
    <row r="38" spans="4:11" x14ac:dyDescent="0.2">
      <c r="D38" s="3"/>
    </row>
    <row r="39" spans="4:11" x14ac:dyDescent="0.2">
      <c r="D39" s="3"/>
    </row>
    <row r="40" spans="4:11" x14ac:dyDescent="0.2">
      <c r="D40" s="3"/>
    </row>
    <row r="41" spans="4:11" x14ac:dyDescent="0.2">
      <c r="D41" s="3"/>
    </row>
    <row r="42" spans="4:11" x14ac:dyDescent="0.2">
      <c r="D42" s="3"/>
    </row>
    <row r="43" spans="4:11" x14ac:dyDescent="0.2">
      <c r="D43" s="3"/>
    </row>
    <row r="45" spans="4:11" x14ac:dyDescent="0.2">
      <c r="D45" s="3"/>
      <c r="I45" s="3"/>
      <c r="K45" s="3"/>
    </row>
    <row r="46" spans="4:11" x14ac:dyDescent="0.2">
      <c r="D46" s="3"/>
      <c r="I46" s="3"/>
      <c r="K46" s="3"/>
    </row>
    <row r="47" spans="4:11" x14ac:dyDescent="0.2">
      <c r="D47" s="3"/>
      <c r="I47" s="3"/>
      <c r="K47" s="3"/>
    </row>
    <row r="48" spans="4:11" x14ac:dyDescent="0.2">
      <c r="D48" s="3"/>
      <c r="I48" s="3"/>
      <c r="K48" s="3"/>
    </row>
    <row r="49" spans="4:11" x14ac:dyDescent="0.2">
      <c r="D49" s="3"/>
      <c r="I49" s="3"/>
      <c r="K49" s="3"/>
    </row>
    <row r="50" spans="4:11" x14ac:dyDescent="0.2">
      <c r="D50" s="3"/>
      <c r="I50" s="3"/>
      <c r="K50" s="3"/>
    </row>
    <row r="51" spans="4:11" x14ac:dyDescent="0.2">
      <c r="I51" s="3"/>
      <c r="K51" s="3"/>
    </row>
    <row r="52" spans="4:11" x14ac:dyDescent="0.2">
      <c r="I52" s="3"/>
      <c r="K52" s="3"/>
    </row>
    <row r="53" spans="4:11" x14ac:dyDescent="0.2">
      <c r="I53" s="3"/>
      <c r="K53" s="3"/>
    </row>
    <row r="54" spans="4:11" x14ac:dyDescent="0.2">
      <c r="I54" s="3"/>
      <c r="K54" s="3"/>
    </row>
    <row r="55" spans="4:11" x14ac:dyDescent="0.2">
      <c r="I55" s="3"/>
      <c r="K55" s="3"/>
    </row>
    <row r="56" spans="4:11" x14ac:dyDescent="0.2">
      <c r="I56" s="3"/>
      <c r="K56" s="3"/>
    </row>
    <row r="57" spans="4:11" x14ac:dyDescent="0.2">
      <c r="I57" s="3"/>
      <c r="K57" s="3"/>
    </row>
    <row r="58" spans="4:11" x14ac:dyDescent="0.2">
      <c r="I58" s="3"/>
      <c r="K58" s="3"/>
    </row>
    <row r="59" spans="4:11" x14ac:dyDescent="0.2">
      <c r="I59" s="3"/>
      <c r="K59" s="3"/>
    </row>
    <row r="60" spans="4:11" x14ac:dyDescent="0.2">
      <c r="I60" s="3"/>
      <c r="K60" s="3"/>
    </row>
    <row r="61" spans="4:11" x14ac:dyDescent="0.2">
      <c r="I61" s="3"/>
      <c r="K61" s="3"/>
    </row>
    <row r="62" spans="4:11" x14ac:dyDescent="0.2">
      <c r="I62" s="3"/>
      <c r="K62" s="3"/>
    </row>
    <row r="63" spans="4:11" x14ac:dyDescent="0.2">
      <c r="I63" s="3"/>
      <c r="K63" s="3"/>
    </row>
    <row r="64" spans="4:11" x14ac:dyDescent="0.2">
      <c r="I64" s="3"/>
      <c r="K64" s="3"/>
    </row>
    <row r="65" spans="9:11" x14ac:dyDescent="0.2">
      <c r="I65" s="3"/>
      <c r="K65" s="3"/>
    </row>
    <row r="66" spans="9:11" x14ac:dyDescent="0.2">
      <c r="I66" s="3"/>
      <c r="K66" s="3"/>
    </row>
    <row r="67" spans="9:11" x14ac:dyDescent="0.2">
      <c r="I67" s="3"/>
      <c r="K67" s="3"/>
    </row>
    <row r="68" spans="9:11" x14ac:dyDescent="0.2">
      <c r="I68" s="3"/>
      <c r="K68" s="3"/>
    </row>
    <row r="69" spans="9:11" x14ac:dyDescent="0.2">
      <c r="I69" s="3"/>
      <c r="K69" s="3"/>
    </row>
    <row r="70" spans="9:11" x14ac:dyDescent="0.2">
      <c r="I70" s="3"/>
    </row>
    <row r="71" spans="9:11" x14ac:dyDescent="0.2">
      <c r="I71" s="3"/>
    </row>
    <row r="72" spans="9:11" x14ac:dyDescent="0.2">
      <c r="I72" s="3"/>
    </row>
    <row r="73" spans="9:11" x14ac:dyDescent="0.2">
      <c r="I73" s="3"/>
    </row>
    <row r="74" spans="9:11" x14ac:dyDescent="0.2">
      <c r="I74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E9842-6C14-0245-8092-DD3DC9C4F639}">
  <dimension ref="A2:H29"/>
  <sheetViews>
    <sheetView topLeftCell="A11" zoomScale="172" zoomScaleNormal="172" workbookViewId="0">
      <selection activeCell="C6" sqref="C6"/>
    </sheetView>
  </sheetViews>
  <sheetFormatPr baseColWidth="10" defaultRowHeight="16" x14ac:dyDescent="0.2"/>
  <cols>
    <col min="1" max="1" width="34.5" bestFit="1" customWidth="1"/>
    <col min="2" max="2" width="7.5" bestFit="1" customWidth="1"/>
    <col min="3" max="3" width="4.5" bestFit="1" customWidth="1"/>
    <col min="4" max="4" width="4.6640625" bestFit="1" customWidth="1"/>
    <col min="5" max="5" width="7.5" bestFit="1" customWidth="1"/>
    <col min="6" max="6" width="6.6640625" bestFit="1" customWidth="1"/>
    <col min="7" max="7" width="7.5" bestFit="1" customWidth="1"/>
    <col min="8" max="8" width="6" bestFit="1" customWidth="1"/>
  </cols>
  <sheetData>
    <row r="2" spans="1:8" x14ac:dyDescent="0.2">
      <c r="A2" s="3"/>
    </row>
    <row r="3" spans="1:8" x14ac:dyDescent="0.2">
      <c r="A3" s="3"/>
      <c r="B3" t="s">
        <v>1</v>
      </c>
      <c r="C3" t="s">
        <v>3</v>
      </c>
      <c r="D3" t="s">
        <v>4</v>
      </c>
      <c r="E3" t="s">
        <v>10</v>
      </c>
      <c r="F3" t="s">
        <v>11</v>
      </c>
      <c r="G3" t="s">
        <v>5</v>
      </c>
      <c r="H3" t="s">
        <v>20</v>
      </c>
    </row>
    <row r="4" spans="1:8" ht="21" x14ac:dyDescent="0.25">
      <c r="A4" s="1" t="s">
        <v>26</v>
      </c>
      <c r="B4" s="1">
        <v>0.04</v>
      </c>
      <c r="C4" s="1">
        <v>25</v>
      </c>
      <c r="D4" s="1">
        <v>14</v>
      </c>
      <c r="E4" s="1">
        <v>12.9</v>
      </c>
      <c r="F4" s="1">
        <v>4.5</v>
      </c>
      <c r="G4" s="1">
        <v>0.06</v>
      </c>
      <c r="H4" s="1">
        <v>0.7</v>
      </c>
    </row>
    <row r="5" spans="1:8" x14ac:dyDescent="0.2">
      <c r="A5" s="3"/>
    </row>
    <row r="6" spans="1:8" x14ac:dyDescent="0.2">
      <c r="A6" s="3"/>
    </row>
    <row r="7" spans="1:8" x14ac:dyDescent="0.2">
      <c r="A7" s="3"/>
    </row>
    <row r="8" spans="1:8" x14ac:dyDescent="0.2">
      <c r="A8" s="3"/>
    </row>
    <row r="9" spans="1:8" x14ac:dyDescent="0.2">
      <c r="A9" s="3"/>
    </row>
    <row r="10" spans="1:8" x14ac:dyDescent="0.2">
      <c r="A10" s="3"/>
    </row>
    <row r="11" spans="1:8" x14ac:dyDescent="0.2">
      <c r="A11" s="3"/>
    </row>
    <row r="12" spans="1:8" x14ac:dyDescent="0.2">
      <c r="A12" s="3"/>
    </row>
    <row r="13" spans="1:8" x14ac:dyDescent="0.2">
      <c r="A13" s="3"/>
    </row>
    <row r="14" spans="1:8" x14ac:dyDescent="0.2">
      <c r="A14" s="3"/>
    </row>
    <row r="15" spans="1:8" x14ac:dyDescent="0.2">
      <c r="A15" s="3"/>
    </row>
    <row r="16" spans="1:8" x14ac:dyDescent="0.2">
      <c r="A16" s="3"/>
    </row>
    <row r="17" spans="1:1" x14ac:dyDescent="0.2">
      <c r="A17" s="3"/>
    </row>
    <row r="18" spans="1:1" x14ac:dyDescent="0.2">
      <c r="A18" s="3"/>
    </row>
    <row r="19" spans="1:1" x14ac:dyDescent="0.2">
      <c r="A19" s="3"/>
    </row>
    <row r="20" spans="1:1" x14ac:dyDescent="0.2">
      <c r="A20" s="3"/>
    </row>
    <row r="21" spans="1:1" x14ac:dyDescent="0.2">
      <c r="A21" s="3"/>
    </row>
    <row r="22" spans="1:1" x14ac:dyDescent="0.2">
      <c r="A22" s="3"/>
    </row>
    <row r="23" spans="1:1" x14ac:dyDescent="0.2">
      <c r="A23" s="3"/>
    </row>
    <row r="24" spans="1:1" x14ac:dyDescent="0.2">
      <c r="A24" s="3"/>
    </row>
    <row r="25" spans="1:1" x14ac:dyDescent="0.2">
      <c r="A25" s="3"/>
    </row>
    <row r="26" spans="1:1" x14ac:dyDescent="0.2">
      <c r="A26" s="3"/>
    </row>
    <row r="27" spans="1:1" x14ac:dyDescent="0.2">
      <c r="A27" s="3"/>
    </row>
    <row r="28" spans="1:1" x14ac:dyDescent="0.2">
      <c r="A28" s="3"/>
    </row>
    <row r="29" spans="1:1" x14ac:dyDescent="0.2">
      <c r="A29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Performance</vt:lpstr>
      <vt:lpstr>Concise</vt:lpstr>
      <vt:lpstr>Memory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Mueller</dc:creator>
  <cp:lastModifiedBy>Thomas Mueller</cp:lastModifiedBy>
  <dcterms:created xsi:type="dcterms:W3CDTF">2025-06-19T18:04:29Z</dcterms:created>
  <dcterms:modified xsi:type="dcterms:W3CDTF">2026-06-07T20:22:15Z</dcterms:modified>
</cp:coreProperties>
</file>